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Units" sheetId="2" state="visible" r:id="rId2"/>
    <sheet name="Rarity Variants" sheetId="3" state="visible" r:id="rId3"/>
    <sheet name="Roll Tiers" sheetId="4" state="visible" r:id="rId4"/>
    <sheet name="Village Loadouts" sheetId="5" state="visible" r:id="rId5"/>
    <sheet name="Dice &amp; Deck Notes" sheetId="6" state="visible" r:id="rId6"/>
  </sheets>
  <definedNames>
    <definedName name="UnitNames">Units!$B$2:$B$15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x"/>
  </numFmts>
  <fonts count="12">
    <font>
      <name val="Calibri"/>
      <family val="2"/>
      <color theme="1"/>
      <sz val="11"/>
      <scheme val="minor"/>
    </font>
    <font>
      <name val="Arial"/>
      <b val="1"/>
      <color rgb="002F4F4F"/>
      <sz val="16"/>
    </font>
    <font>
      <name val="Arial"/>
      <i val="1"/>
      <color rgb="00555555"/>
      <sz val="10"/>
    </font>
    <font>
      <name val="Arial"/>
      <b val="1"/>
    </font>
    <font>
      <name val="Arial"/>
    </font>
    <font>
      <name val="Arial"/>
      <color rgb="000000FF"/>
    </font>
    <font>
      <name val="Arial"/>
      <color rgb="00000000"/>
    </font>
    <font>
      <name val="Arial"/>
      <b val="1"/>
      <color rgb="00FFFFFF"/>
      <sz val="11"/>
    </font>
    <font>
      <name val="Arial"/>
      <b val="1"/>
      <i val="1"/>
    </font>
    <font>
      <name val="Arial"/>
      <i val="1"/>
      <color rgb="00808080"/>
    </font>
    <font>
      <name val="Arial"/>
      <b val="1"/>
      <sz val="12"/>
    </font>
    <font>
      <name val="Arial"/>
      <i val="1"/>
      <color rgb="00555555"/>
      <sz val="9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2F4F4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0" borderId="0" applyAlignment="1" pivotButton="0" quotePrefix="0" xfId="0">
      <alignment vertical="top" wrapText="1"/>
    </xf>
    <xf numFmtId="0" fontId="7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/>
    </xf>
    <xf numFmtId="0" fontId="5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8" fillId="2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wrapText="1"/>
    </xf>
    <xf numFmtId="0" fontId="0" fillId="0" borderId="1" pivotButton="0" quotePrefix="0" xfId="0"/>
    <xf numFmtId="164" fontId="5" fillId="0" borderId="1" pivotButton="0" quotePrefix="0" xfId="0"/>
    <xf numFmtId="0" fontId="11" fillId="0" borderId="0" pivotButton="0" quotePrefix="0" xfId="0"/>
    <xf numFmtId="0" fontId="0" fillId="3" borderId="1" pivotButton="0" quotePrefix="0" xfId="0"/>
    <xf numFmtId="0" fontId="3" fillId="0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1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90" customWidth="1" min="3" max="3"/>
    <col width="14" customWidth="1" min="4" max="4"/>
    <col width="14" customWidth="1" min="5" max="5"/>
    <col width="14" customWidth="1" min="6" max="6"/>
  </cols>
  <sheetData>
    <row r="2">
      <c r="B2" s="1" t="inlineStr">
        <is>
          <t>Roll the Reckoning — Units &amp; Dice Design</t>
        </is>
      </c>
    </row>
    <row r="3">
      <c r="B3" s="2" t="inlineStr">
        <is>
          <t>Working roster + rarity math for the dice-roll -&gt; unit-draft loop, plus the village-slot and dice-deck ideas it feeds into.</t>
        </is>
      </c>
    </row>
    <row r="5">
      <c r="B5" s="3" t="inlineStr">
        <is>
          <t>Tab</t>
        </is>
      </c>
      <c r="C5" s="3" t="inlineStr">
        <is>
          <t>What it's for</t>
        </is>
      </c>
    </row>
    <row r="6" ht="32" customHeight="1">
      <c r="B6" s="3" t="inlineStr">
        <is>
          <t>Units</t>
        </is>
      </c>
      <c r="C6" s="4" t="inlineStr">
        <is>
          <t>The master roster. One row per unit type. Edit the blue cells (Draft Pool, Base Damage, Base HP, Notes). Everything else is looked up elsewhere.</t>
        </is>
      </c>
    </row>
    <row r="7" ht="32" customHeight="1">
      <c r="B7" s="3" t="inlineStr">
        <is>
          <t>Rarity Variants</t>
        </is>
      </c>
      <c r="C7" s="4" t="inlineStr">
        <is>
          <t>Every unit x quality-tier (Common -&gt; Legendary) combo, with stats scaled by the multipliers on 'Rarity Scale'. This is what a specific roll actually produces in-game.</t>
        </is>
      </c>
    </row>
    <row r="8" ht="32" customHeight="1">
      <c r="B8" s="3" t="inlineStr">
        <is>
          <t>Roll Tiers</t>
        </is>
      </c>
      <c r="C8" s="4" t="inlineStr">
        <is>
          <t>How a TYPE roll (2d6 sum) maps to a Draft Pool, mirroring Scripts/main.gd's SUM_TO_RANGE and the in-game Roll Ledger. Live counts pull from Units automatically.</t>
        </is>
      </c>
    </row>
    <row r="9" ht="32" customHeight="1">
      <c r="B9" s="3" t="inlineStr">
        <is>
          <t>Village Loadouts</t>
        </is>
      </c>
      <c r="C9" s="4" t="inlineStr">
        <is>
          <t>5-slots-per-village planning sheet. One row per village; pick which units (by name) fill its 5 slots. Slot cells are dropdowns built from Units.</t>
        </is>
      </c>
    </row>
    <row r="10" ht="32" customHeight="1">
      <c r="B10" s="3" t="inlineStr">
        <is>
          <t>Dice &amp; Deck Notes</t>
        </is>
      </c>
      <c r="C10" s="4" t="inlineStr">
        <is>
          <t>Open design questions for the Slay-the-Spire-style dice bag/hand idea. Not mechanically wired yet - this is a scratchpad, not a spec.</t>
        </is>
      </c>
    </row>
    <row r="12">
      <c r="B12" s="3" t="inlineStr">
        <is>
          <t>Legend</t>
        </is>
      </c>
    </row>
    <row r="13">
      <c r="B13" s="5" t="inlineStr">
        <is>
          <t>Blue text</t>
        </is>
      </c>
      <c r="C13" t="inlineStr">
        <is>
          <t>A value you're meant to edit (stats, names, notes).</t>
        </is>
      </c>
    </row>
    <row r="14">
      <c r="B14" s="6" t="inlineStr">
        <is>
          <t>Black text</t>
        </is>
      </c>
      <c r="C14" t="inlineStr">
        <is>
          <t>A formula - don't overtype it, it recalculates from the blue cells.</t>
        </is>
      </c>
    </row>
    <row r="15">
      <c r="B15" s="7" t="inlineStr">
        <is>
          <t>Yellow fill</t>
        </is>
      </c>
      <c r="C15" t="inlineStr">
        <is>
          <t>A design note / open question, not game data.</t>
        </is>
      </c>
    </row>
    <row r="16">
      <c r="B16" s="8" t="inlineStr">
        <is>
          <t>Green fill</t>
        </is>
      </c>
      <c r="C16" t="inlineStr">
        <is>
          <t>Example row(s) showing the expected format - replace or add more below them.</t>
        </is>
      </c>
    </row>
    <row r="18" ht="60" customHeight="1">
      <c r="B18" s="9" t="inlineStr">
        <is>
          <t>All base stats and rarity multipliers below are starter placeholders for balance passes, in the same spirit as main.gd's own CLASH_SIEGE_DAMAGE comment ("treat these numbers as placeholders to rebalance once real rules are nailed down"). Nothing here is wired into the game yet - Scripts/main.gd currently drafts generic placeholder avatar icons, not these named units. Wiring real sprites in as unit icons is a follow-up task once the roster below is locked.</t>
        </is>
      </c>
    </row>
  </sheetData>
  <mergeCells count="1">
    <mergeCell ref="B18:F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6" customWidth="1" min="3" max="3"/>
    <col width="12" customWidth="1" min="4" max="4"/>
    <col width="12" customWidth="1" min="5" max="5"/>
    <col width="12" customWidth="1" min="6" max="6"/>
    <col width="10" customWidth="1" min="7" max="7"/>
    <col width="46" customWidth="1" min="8" max="8"/>
    <col width="30" customWidth="1" min="9" max="9"/>
    <col width="46" customWidth="1" min="10" max="10"/>
  </cols>
  <sheetData>
    <row r="1">
      <c r="A1" s="10" t="inlineStr">
        <is>
          <t>Unit ID</t>
        </is>
      </c>
      <c r="B1" s="10" t="inlineStr">
        <is>
          <t>Unit Name</t>
        </is>
      </c>
      <c r="C1" s="10" t="inlineStr">
        <is>
          <t>Theme</t>
        </is>
      </c>
      <c r="D1" s="10" t="inlineStr">
        <is>
          <t>Draft Pool</t>
        </is>
      </c>
      <c r="E1" s="10" t="inlineStr">
        <is>
          <t>Sum Range</t>
        </is>
      </c>
      <c r="F1" s="10" t="inlineStr">
        <is>
          <t>Base Damage</t>
        </is>
      </c>
      <c r="G1" s="10" t="inlineStr">
        <is>
          <t>Base HP</t>
        </is>
      </c>
      <c r="H1" s="10" t="inlineStr">
        <is>
          <t>Asset Source</t>
        </is>
      </c>
      <c r="I1" s="10" t="inlineStr">
        <is>
          <t>Sprite Status</t>
        </is>
      </c>
      <c r="J1" s="10" t="inlineStr">
        <is>
          <t>Notes / Abilities (future)</t>
        </is>
      </c>
    </row>
    <row r="2">
      <c r="A2" s="11" t="inlineStr">
        <is>
          <t>U01</t>
        </is>
      </c>
      <c r="B2" s="12" t="inlineStr">
        <is>
          <t>Minotaur</t>
        </is>
      </c>
      <c r="C2" s="12" t="inlineStr">
        <is>
          <t>Beast - Boss</t>
        </is>
      </c>
      <c r="D2" s="12" t="inlineStr">
        <is>
          <t>Boss</t>
        </is>
      </c>
      <c r="E2" s="11">
        <f>IF($D2="Boss",'Roll Tiers'!$A$4,IF($D2="Common",'Roll Tiers'!$A$6,IF($D2="Rare",'Roll Tiers'!$A$5&amp;", "&amp;'Roll Tiers'!$A$7,"?")))</f>
        <v/>
      </c>
      <c r="F2" s="12" t="n">
        <v>8</v>
      </c>
      <c r="G2" s="12" t="n">
        <v>40</v>
      </c>
      <c r="H2" s="13" t="inlineStr">
        <is>
          <t>Tiny Swords (Enemy Pack)/Enemy Pack/Minotaur</t>
        </is>
      </c>
      <c r="I2" s="13" t="inlineStr">
        <is>
          <t>Full sprite sheet (Idle/Attack/Guard/Walk)</t>
        </is>
      </c>
      <c r="J2" s="14" t="inlineStr">
        <is>
          <t>Single boss slot - only the 2-2 roll drafts it. Guard frame suggests a block/counter ability later.</t>
        </is>
      </c>
    </row>
    <row r="3">
      <c r="A3" s="11" t="inlineStr">
        <is>
          <t>U02</t>
        </is>
      </c>
      <c r="B3" s="12" t="inlineStr">
        <is>
          <t>Troll</t>
        </is>
      </c>
      <c r="C3" s="12" t="inlineStr">
        <is>
          <t>Beast - Rare</t>
        </is>
      </c>
      <c r="D3" s="12" t="inlineStr">
        <is>
          <t>Rare</t>
        </is>
      </c>
      <c r="E3" s="11">
        <f>IF($D3="Boss",'Roll Tiers'!$A$4,IF($D3="Common",'Roll Tiers'!$A$6,IF($D3="Rare",'Roll Tiers'!$A$5&amp;", "&amp;'Roll Tiers'!$A$7,"?")))</f>
        <v/>
      </c>
      <c r="F3" s="12" t="n">
        <v>5</v>
      </c>
      <c r="G3" s="12" t="n">
        <v>20</v>
      </c>
      <c r="H3" s="13" t="inlineStr">
        <is>
          <t>Tiny Swords (Enemy Pack)/Enemy Pack/Troll</t>
        </is>
      </c>
      <c r="I3" s="13" t="inlineStr">
        <is>
          <t>Full sprite sheet (Attack/Windup/Recovery/Dead/Walk)</t>
        </is>
      </c>
      <c r="J3" s="14" t="inlineStr">
        <is>
          <t>Windup/Recovery frames fit a slow-but-hard-hitting attack.</t>
        </is>
      </c>
    </row>
    <row r="4">
      <c r="A4" s="11" t="inlineStr">
        <is>
          <t>U03</t>
        </is>
      </c>
      <c r="B4" s="12" t="inlineStr">
        <is>
          <t>Panda</t>
        </is>
      </c>
      <c r="C4" s="12" t="inlineStr">
        <is>
          <t>Beast - Rare</t>
        </is>
      </c>
      <c r="D4" s="12" t="inlineStr">
        <is>
          <t>Rare</t>
        </is>
      </c>
      <c r="E4" s="11">
        <f>IF($D4="Boss",'Roll Tiers'!$A$4,IF($D4="Common",'Roll Tiers'!$A$6,IF($D4="Rare",'Roll Tiers'!$A$5&amp;", "&amp;'Roll Tiers'!$A$7,"?")))</f>
        <v/>
      </c>
      <c r="F4" s="12" t="n">
        <v>4</v>
      </c>
      <c r="G4" s="12" t="n">
        <v>18</v>
      </c>
      <c r="H4" s="13" t="inlineStr">
        <is>
          <t>Tiny Swords (Enemy Pack)/Enemy Pack/Panda</t>
        </is>
      </c>
      <c r="I4" s="13" t="inlineStr">
        <is>
          <t>Full sprite sheet (Attack/Guard/Run)</t>
        </is>
      </c>
      <c r="J4" s="14" t="inlineStr">
        <is>
          <t>Guard frame - candidate for a damage-reduction ability.</t>
        </is>
      </c>
    </row>
    <row r="5">
      <c r="A5" s="11" t="inlineStr">
        <is>
          <t>U04</t>
        </is>
      </c>
      <c r="B5" s="12" t="inlineStr">
        <is>
          <t>Shaman</t>
        </is>
      </c>
      <c r="C5" s="12" t="inlineStr">
        <is>
          <t>Caster - Rare</t>
        </is>
      </c>
      <c r="D5" s="12" t="inlineStr">
        <is>
          <t>Rare</t>
        </is>
      </c>
      <c r="E5" s="11">
        <f>IF($D5="Boss",'Roll Tiers'!$A$4,IF($D5="Common",'Roll Tiers'!$A$6,IF($D5="Rare",'Roll Tiers'!$A$5&amp;", "&amp;'Roll Tiers'!$A$7,"?")))</f>
        <v/>
      </c>
      <c r="F5" s="12" t="n">
        <v>4</v>
      </c>
      <c r="G5" s="12" t="n">
        <v>12</v>
      </c>
      <c r="H5" s="13" t="inlineStr">
        <is>
          <t>Tiny Swords (Enemy Pack)/Enemy Pack/Shaman</t>
        </is>
      </c>
      <c r="I5" s="13" t="inlineStr">
        <is>
          <t>Full sprite sheet (Attack/Projectile/Explosion/Run)</t>
        </is>
      </c>
      <c r="J5" s="14" t="inlineStr">
        <is>
          <t>Ranged/AoE - Explosion frame suggests a splash-damage ability.</t>
        </is>
      </c>
    </row>
    <row r="6">
      <c r="A6" s="11" t="inlineStr">
        <is>
          <t>U05</t>
        </is>
      </c>
      <c r="B6" s="12" t="inlineStr">
        <is>
          <t>Lancer</t>
        </is>
      </c>
      <c r="C6" s="12" t="inlineStr">
        <is>
          <t>Humanoid - Rare</t>
        </is>
      </c>
      <c r="D6" s="12" t="inlineStr">
        <is>
          <t>Rare</t>
        </is>
      </c>
      <c r="E6" s="11">
        <f>IF($D6="Boss",'Roll Tiers'!$A$4,IF($D6="Common",'Roll Tiers'!$A$6,IF($D6="Rare",'Roll Tiers'!$A$5&amp;", "&amp;'Roll Tiers'!$A$7,"?")))</f>
        <v/>
      </c>
      <c r="F6" s="12" t="n">
        <v>5</v>
      </c>
      <c r="G6" s="12" t="n">
        <v>14</v>
      </c>
      <c r="H6" s="13" t="inlineStr">
        <is>
          <t>Tiny Swords (Enemy Pack)/Enemy Pack/Lancer</t>
        </is>
      </c>
      <c r="I6" s="13" t="inlineStr">
        <is>
          <t>Full sprite sheet (Attack/Idle/Run)</t>
        </is>
      </c>
      <c r="J6" s="14" t="inlineStr">
        <is>
          <t>Armored spear unit - straightforward melee rare.</t>
        </is>
      </c>
    </row>
    <row r="7">
      <c r="A7" s="11" t="inlineStr">
        <is>
          <t>U06</t>
        </is>
      </c>
      <c r="B7" s="12" t="inlineStr">
        <is>
          <t>Spider</t>
        </is>
      </c>
      <c r="C7" s="12" t="inlineStr">
        <is>
          <t>Beast - Rare</t>
        </is>
      </c>
      <c r="D7" s="12" t="inlineStr">
        <is>
          <t>Rare</t>
        </is>
      </c>
      <c r="E7" s="11">
        <f>IF($D7="Boss",'Roll Tiers'!$A$4,IF($D7="Common",'Roll Tiers'!$A$6,IF($D7="Rare",'Roll Tiers'!$A$5&amp;", "&amp;'Roll Tiers'!$A$7,"?")))</f>
        <v/>
      </c>
      <c r="F7" s="12" t="n">
        <v>4</v>
      </c>
      <c r="G7" s="12" t="n">
        <v>10</v>
      </c>
      <c r="H7" s="13" t="inlineStr">
        <is>
          <t>Tiny Swords (Enemy Pack)/Enemy Pack/Spider</t>
        </is>
      </c>
      <c r="I7" s="13" t="inlineStr">
        <is>
          <t>Full sprite sheet (Attack/Run)</t>
        </is>
      </c>
      <c r="J7" s="14" t="inlineStr">
        <is>
          <t>Fast/fragile - candidate for a web/slow debuff later.</t>
        </is>
      </c>
    </row>
    <row r="8">
      <c r="A8" s="11" t="inlineStr">
        <is>
          <t>U07</t>
        </is>
      </c>
      <c r="B8" s="12" t="inlineStr">
        <is>
          <t>Skull</t>
        </is>
      </c>
      <c r="C8" s="12" t="inlineStr">
        <is>
          <t>Undead - Common</t>
        </is>
      </c>
      <c r="D8" s="12" t="inlineStr">
        <is>
          <t>Common</t>
        </is>
      </c>
      <c r="E8" s="11">
        <f>IF($D8="Boss",'Roll Tiers'!$A$4,IF($D8="Common",'Roll Tiers'!$A$6,IF($D8="Rare",'Roll Tiers'!$A$5&amp;", "&amp;'Roll Tiers'!$A$7,"?")))</f>
        <v/>
      </c>
      <c r="F8" s="12" t="n">
        <v>2</v>
      </c>
      <c r="G8" s="12" t="n">
        <v>6</v>
      </c>
      <c r="H8" s="13" t="inlineStr">
        <is>
          <t>Tiny Swords (Enemy Pack)/Enemy Pack/Skull</t>
        </is>
      </c>
      <c r="I8" s="13" t="inlineStr">
        <is>
          <t>Full sprite sheet (Attack/Guard/Run)</t>
        </is>
      </c>
      <c r="J8" s="14" t="inlineStr">
        <is>
          <t>Cheap undead fodder - fields well in numbers per the doc's "weak alone, field 6" idea.</t>
        </is>
      </c>
    </row>
    <row r="9">
      <c r="A9" s="11" t="inlineStr">
        <is>
          <t>U08</t>
        </is>
      </c>
      <c r="B9" s="12" t="inlineStr">
        <is>
          <t>Gnoll</t>
        </is>
      </c>
      <c r="C9" s="12" t="inlineStr">
        <is>
          <t>Goblinoid - Common</t>
        </is>
      </c>
      <c r="D9" s="12" t="inlineStr">
        <is>
          <t>Common</t>
        </is>
      </c>
      <c r="E9" s="11">
        <f>IF($D9="Boss",'Roll Tiers'!$A$4,IF($D9="Common",'Roll Tiers'!$A$6,IF($D9="Rare",'Roll Tiers'!$A$5&amp;", "&amp;'Roll Tiers'!$A$7,"?")))</f>
        <v/>
      </c>
      <c r="F9" s="12" t="n">
        <v>3</v>
      </c>
      <c r="G9" s="12" t="n">
        <v>8</v>
      </c>
      <c r="H9" s="13" t="inlineStr">
        <is>
          <t>Tiny Swords (Enemy Pack)/Enemy Pack/Gnoll</t>
        </is>
      </c>
      <c r="I9" s="13" t="inlineStr">
        <is>
          <t>Full sprite sheet (Bone/Hit/Idle/Throw/Walk)</t>
        </is>
      </c>
      <c r="J9" s="14" t="inlineStr">
        <is>
          <t>Throw frame - ranged bone-throw common.</t>
        </is>
      </c>
    </row>
    <row r="10">
      <c r="A10" s="11" t="inlineStr">
        <is>
          <t>U09</t>
        </is>
      </c>
      <c r="B10" s="12" t="inlineStr">
        <is>
          <t>Gnome</t>
        </is>
      </c>
      <c r="C10" s="12" t="inlineStr">
        <is>
          <t>Goblinoid - Common</t>
        </is>
      </c>
      <c r="D10" s="12" t="inlineStr">
        <is>
          <t>Common</t>
        </is>
      </c>
      <c r="E10" s="11">
        <f>IF($D10="Boss",'Roll Tiers'!$A$4,IF($D10="Common",'Roll Tiers'!$A$6,IF($D10="Rare",'Roll Tiers'!$A$5&amp;", "&amp;'Roll Tiers'!$A$7,"?")))</f>
        <v/>
      </c>
      <c r="F10" s="12" t="n">
        <v>1</v>
      </c>
      <c r="G10" s="12" t="n">
        <v>5</v>
      </c>
      <c r="H10" s="13" t="inlineStr">
        <is>
          <t>Tiny Swords (Enemy Pack)/Enemy Pack/Gnome</t>
        </is>
      </c>
      <c r="I10" s="13" t="inlineStr">
        <is>
          <t>Full sprite sheet (Attack/Idle/Run)</t>
        </is>
      </c>
      <c r="J10" s="14" t="inlineStr">
        <is>
          <t>Weakest common - highest-count filler unit.</t>
        </is>
      </c>
    </row>
    <row r="11">
      <c r="A11" s="11" t="inlineStr">
        <is>
          <t>U10</t>
        </is>
      </c>
      <c r="B11" s="12" t="inlineStr">
        <is>
          <t>Snake</t>
        </is>
      </c>
      <c r="C11" s="12" t="inlineStr">
        <is>
          <t>Beast - Common</t>
        </is>
      </c>
      <c r="D11" s="12" t="inlineStr">
        <is>
          <t>Common</t>
        </is>
      </c>
      <c r="E11" s="11">
        <f>IF($D11="Boss",'Roll Tiers'!$A$4,IF($D11="Common",'Roll Tiers'!$A$6,IF($D11="Rare",'Roll Tiers'!$A$5&amp;", "&amp;'Roll Tiers'!$A$7,"?")))</f>
        <v/>
      </c>
      <c r="F11" s="12" t="n">
        <v>3</v>
      </c>
      <c r="G11" s="12" t="n">
        <v>5</v>
      </c>
      <c r="H11" s="13" t="inlineStr">
        <is>
          <t>Tiny Swords (Enemy Pack)/Enemy Pack/Snake</t>
        </is>
      </c>
      <c r="I11" s="13" t="inlineStr">
        <is>
          <t>Full sprite sheet (Attack/Run)</t>
        </is>
      </c>
      <c r="J11" s="14" t="inlineStr">
        <is>
          <t>Glass - candidate for a poison/DoT tick later.</t>
        </is>
      </c>
    </row>
    <row r="12">
      <c r="A12" s="11" t="inlineStr">
        <is>
          <t>U11</t>
        </is>
      </c>
      <c r="B12" s="12" t="inlineStr">
        <is>
          <t>Lizard</t>
        </is>
      </c>
      <c r="C12" s="12" t="inlineStr">
        <is>
          <t>Beast - Common</t>
        </is>
      </c>
      <c r="D12" s="12" t="inlineStr">
        <is>
          <t>Common</t>
        </is>
      </c>
      <c r="E12" s="11">
        <f>IF($D12="Boss",'Roll Tiers'!$A$4,IF($D12="Common",'Roll Tiers'!$A$6,IF($D12="Rare",'Roll Tiers'!$A$5&amp;", "&amp;'Roll Tiers'!$A$7,"?")))</f>
        <v/>
      </c>
      <c r="F12" s="12" t="n">
        <v>2</v>
      </c>
      <c r="G12" s="12" t="n">
        <v>7</v>
      </c>
      <c r="H12" s="13" t="inlineStr">
        <is>
          <t>Tiny Swords (Enemy Pack)/Enemy Pack/Lizard</t>
        </is>
      </c>
      <c r="I12" s="13" t="inlineStr">
        <is>
          <t>Full sprite sheet (Attack/Hit/Run)</t>
        </is>
      </c>
      <c r="J12" s="14" t="inlineStr">
        <is>
          <t>Middle-of-the-road common.</t>
        </is>
      </c>
    </row>
    <row r="13">
      <c r="A13" s="11" t="inlineStr">
        <is>
          <t>U12</t>
        </is>
      </c>
      <c r="B13" s="12" t="inlineStr">
        <is>
          <t>Thief</t>
        </is>
      </c>
      <c r="C13" s="12" t="inlineStr">
        <is>
          <t>Humanoid - Common</t>
        </is>
      </c>
      <c r="D13" s="12" t="inlineStr">
        <is>
          <t>Common</t>
        </is>
      </c>
      <c r="E13" s="11">
        <f>IF($D13="Boss",'Roll Tiers'!$A$4,IF($D13="Common",'Roll Tiers'!$A$6,IF($D13="Rare",'Roll Tiers'!$A$5&amp;", "&amp;'Roll Tiers'!$A$7,"?")))</f>
        <v/>
      </c>
      <c r="F13" s="12" t="n">
        <v>2</v>
      </c>
      <c r="G13" s="12" t="n">
        <v>6</v>
      </c>
      <c r="H13" s="13" t="inlineStr">
        <is>
          <t>Tiny Swords (Enemy Pack)/Enemy Pack/Thief</t>
        </is>
      </c>
      <c r="I13" s="13" t="inlineStr">
        <is>
          <t>Full sprite sheet (Attack/Idle/Run)</t>
        </is>
      </c>
      <c r="J13" s="14" t="inlineStr">
        <is>
          <t>Fits the pillage/gold fantasy - candidate for a bonus-gold-on-kill ability.</t>
        </is>
      </c>
    </row>
    <row r="14">
      <c r="A14" s="11" t="inlineStr">
        <is>
          <t>U13</t>
        </is>
      </c>
      <c r="B14" s="12" t="inlineStr">
        <is>
          <t>Turtle</t>
        </is>
      </c>
      <c r="C14" s="12" t="inlineStr">
        <is>
          <t>Beast - Common</t>
        </is>
      </c>
      <c r="D14" s="12" t="inlineStr">
        <is>
          <t>Common</t>
        </is>
      </c>
      <c r="E14" s="11">
        <f>IF($D14="Boss",'Roll Tiers'!$A$4,IF($D14="Common",'Roll Tiers'!$A$6,IF($D14="Rare",'Roll Tiers'!$A$5&amp;", "&amp;'Roll Tiers'!$A$7,"?")))</f>
        <v/>
      </c>
      <c r="F14" s="12" t="n">
        <v>1</v>
      </c>
      <c r="G14" s="12" t="n">
        <v>12</v>
      </c>
      <c r="H14" s="13" t="inlineStr">
        <is>
          <t>Tiny Swords (Enemy Pack)/Enemy Pack/Turtle</t>
        </is>
      </c>
      <c r="I14" s="13" t="inlineStr">
        <is>
          <t>Full sprite sheet (Attack/Guard In-Out/Walk)</t>
        </is>
      </c>
      <c r="J14" s="14" t="inlineStr">
        <is>
          <t>Tankiest common - Guard In/Out frames fit a shell-up ability.</t>
        </is>
      </c>
    </row>
    <row r="15">
      <c r="A15" s="11" t="inlineStr">
        <is>
          <t>U14</t>
        </is>
      </c>
      <c r="B15" s="12" t="inlineStr">
        <is>
          <t>Harpoon Fish</t>
        </is>
      </c>
      <c r="C15" s="12" t="inlineStr">
        <is>
          <t>Aquatic - Common</t>
        </is>
      </c>
      <c r="D15" s="12" t="inlineStr">
        <is>
          <t>Common</t>
        </is>
      </c>
      <c r="E15" s="11">
        <f>IF($D15="Boss",'Roll Tiers'!$A$4,IF($D15="Common",'Roll Tiers'!$A$6,IF($D15="Rare",'Roll Tiers'!$A$5&amp;", "&amp;'Roll Tiers'!$A$7,"?")))</f>
        <v/>
      </c>
      <c r="F15" s="12" t="n">
        <v>3</v>
      </c>
      <c r="G15" s="12" t="n">
        <v>6</v>
      </c>
      <c r="H15" s="13" t="inlineStr">
        <is>
          <t>Tiny Swords (Enemy Pack)/Enemy Pack/Harpoon Fish</t>
        </is>
      </c>
      <c r="I15" s="13" t="inlineStr">
        <is>
          <t>Full sprite sheet (Idle/Run/Throw)</t>
        </is>
      </c>
      <c r="J15" s="14" t="inlineStr">
        <is>
          <t>Ranged common - only makes sense for coastal/harbor villages.</t>
        </is>
      </c>
    </row>
    <row r="17">
      <c r="B17" s="15" t="inlineStr">
        <is>
          <t>Reserve pool - assets exist, not allocated to a Draft Pool yet</t>
        </is>
      </c>
    </row>
    <row r="18">
      <c r="A18" s="16" t="n"/>
      <c r="B18" s="16" t="inlineStr">
        <is>
          <t>Paddle Fish</t>
        </is>
      </c>
      <c r="C18" s="16" t="inlineStr">
        <is>
          <t>Aquatic</t>
        </is>
      </c>
      <c r="D18" s="16" t="n"/>
      <c r="E18" s="16" t="n"/>
      <c r="F18" s="16" t="n"/>
      <c r="G18" s="16" t="n"/>
      <c r="H18" s="16" t="inlineStr">
        <is>
          <t>Tiny Swords (Enemy Pack)/Enemy Pack/Paddle Fish</t>
        </is>
      </c>
      <c r="I18" s="16" t="inlineStr">
        <is>
          <t>Full sprite sheet</t>
        </is>
      </c>
      <c r="J18" s="16" t="n"/>
    </row>
    <row r="19">
      <c r="A19" s="16" t="n"/>
      <c r="B19" s="16" t="inlineStr">
        <is>
          <t>Bear</t>
        </is>
      </c>
      <c r="C19" s="16" t="inlineStr">
        <is>
          <t>Beast</t>
        </is>
      </c>
      <c r="D19" s="16" t="n"/>
      <c r="E19" s="16" t="n"/>
      <c r="F19" s="16" t="n"/>
      <c r="G19" s="16" t="n"/>
      <c r="H19" s="16" t="inlineStr">
        <is>
          <t>Tiny Swords (Enemy Pack)/Enemy Pack/Bear</t>
        </is>
      </c>
      <c r="I19" s="16" t="inlineStr">
        <is>
          <t>Full sprite sheet</t>
        </is>
      </c>
      <c r="J19" s="16" t="n"/>
    </row>
    <row r="20">
      <c r="A20" s="16" t="n"/>
      <c r="B20" s="16" t="inlineStr">
        <is>
          <t>Caveborn</t>
        </is>
      </c>
      <c r="C20" s="16" t="inlineStr">
        <is>
          <t>Humanoid</t>
        </is>
      </c>
      <c r="D20" s="16" t="n"/>
      <c r="E20" s="16" t="n"/>
      <c r="F20" s="16" t="n"/>
      <c r="G20" s="16" t="n"/>
      <c r="H20" s="16" t="inlineStr">
        <is>
          <t>Tiny Swords (Enemy Pack)/Enemy Pack/Enemies/Caveborn</t>
        </is>
      </c>
      <c r="I20" s="16" t="inlineStr">
        <is>
          <t>Portrait/avatar only - verify sheet before wiring</t>
        </is>
      </c>
      <c r="J20" s="16" t="n"/>
    </row>
    <row r="21">
      <c r="A21" s="16" t="n"/>
      <c r="B21" s="16" t="inlineStr">
        <is>
          <t>Goblin Raiders</t>
        </is>
      </c>
      <c r="C21" s="16" t="inlineStr">
        <is>
          <t>Goblinoid</t>
        </is>
      </c>
      <c r="D21" s="16" t="n"/>
      <c r="E21" s="16" t="n"/>
      <c r="F21" s="16" t="n"/>
      <c r="G21" s="16" t="n"/>
      <c r="H21" s="16" t="inlineStr">
        <is>
          <t>Tiny Swords (Enemy Pack)/Enemy Pack/Enemies/Goblin Raiders</t>
        </is>
      </c>
      <c r="I21" s="16" t="inlineStr">
        <is>
          <t>Portrait/avatar only - verify sheet before wiring</t>
        </is>
      </c>
      <c r="J21" s="16" t="n"/>
    </row>
    <row r="22">
      <c r="A22" s="16" t="n"/>
      <c r="B22" s="16" t="inlineStr">
        <is>
          <t>Pirate Fish</t>
        </is>
      </c>
      <c r="C22" s="16" t="inlineStr">
        <is>
          <t>Aquatic</t>
        </is>
      </c>
      <c r="D22" s="16" t="n"/>
      <c r="E22" s="16" t="n"/>
      <c r="F22" s="16" t="n"/>
      <c r="G22" s="16" t="n"/>
      <c r="H22" s="16" t="inlineStr">
        <is>
          <t>Tiny Swords (Enemy Pack)/Enemy Pack/Enemies/Pirate Fish</t>
        </is>
      </c>
      <c r="I22" s="16" t="inlineStr">
        <is>
          <t>Portrait/avatar only - verify sheet before wiring</t>
        </is>
      </c>
      <c r="J22" s="16" t="n"/>
    </row>
    <row r="23">
      <c r="A23" s="16" t="n"/>
      <c r="B23" s="16" t="inlineStr">
        <is>
          <t>Root Troll</t>
        </is>
      </c>
      <c r="C23" s="16" t="inlineStr">
        <is>
          <t>Beast</t>
        </is>
      </c>
      <c r="D23" s="16" t="n"/>
      <c r="E23" s="16" t="n"/>
      <c r="F23" s="16" t="n"/>
      <c r="G23" s="16" t="n"/>
      <c r="H23" s="16" t="inlineStr">
        <is>
          <t>Tiny Swords (Enemy Pack)/Enemy Pack/Enemies/Root Troll</t>
        </is>
      </c>
      <c r="I23" s="16" t="inlineStr">
        <is>
          <t>Portrait/avatar only - verify sheet before wiring</t>
        </is>
      </c>
      <c r="J23" s="16" t="n"/>
    </row>
    <row r="24">
      <c r="A24" s="16" t="n"/>
      <c r="B24" s="16" t="inlineStr">
        <is>
          <t>Bomb Fish</t>
        </is>
      </c>
      <c r="C24" s="16" t="inlineStr">
        <is>
          <t>Aquatic</t>
        </is>
      </c>
      <c r="D24" s="16" t="n"/>
      <c r="E24" s="16" t="n"/>
      <c r="F24" s="16" t="n"/>
      <c r="G24" s="16" t="n"/>
      <c r="H24" s="16" t="inlineStr">
        <is>
          <t>Tiny Swords (Enemy Pack)/Enemy Pack/Enemy Avatars/Bomb Fish.png</t>
        </is>
      </c>
      <c r="I24" s="16" t="inlineStr">
        <is>
          <t>Avatar only, no sprite sheet found</t>
        </is>
      </c>
      <c r="J24" s="16" t="n"/>
    </row>
    <row r="25">
      <c r="A25" s="16" t="n"/>
      <c r="B25" s="16" t="inlineStr">
        <is>
          <t>Harpoon Shark</t>
        </is>
      </c>
      <c r="C25" s="16" t="inlineStr">
        <is>
          <t>Aquatic</t>
        </is>
      </c>
      <c r="D25" s="16" t="n"/>
      <c r="E25" s="16" t="n"/>
      <c r="F25" s="16" t="n"/>
      <c r="G25" s="16" t="n"/>
      <c r="H25" s="16" t="inlineStr">
        <is>
          <t>Tiny Swords (Enemy Pack)/Enemy Pack/Enemy Avatars/Harpoon Shark.png</t>
        </is>
      </c>
      <c r="I25" s="16" t="inlineStr">
        <is>
          <t>Avatar only, no sprite sheet found</t>
        </is>
      </c>
      <c r="J25" s="16" t="n"/>
    </row>
    <row r="26">
      <c r="A26" s="16" t="n"/>
      <c r="B26" s="16" t="inlineStr">
        <is>
          <t>Hex Shaman</t>
        </is>
      </c>
      <c r="C26" s="16" t="inlineStr">
        <is>
          <t>Caster</t>
        </is>
      </c>
      <c r="D26" s="16" t="n"/>
      <c r="E26" s="16" t="n"/>
      <c r="F26" s="16" t="n"/>
      <c r="G26" s="16" t="n"/>
      <c r="H26" s="16" t="inlineStr">
        <is>
          <t>Tiny Swords (Enemy Pack)/Enemy Pack/Enemy Avatars/Hex Shaman.png</t>
        </is>
      </c>
      <c r="I26" s="16" t="inlineStr">
        <is>
          <t>Avatar only - possibly a Shaman variant portrait</t>
        </is>
      </c>
      <c r="J26" s="16" t="n"/>
    </row>
    <row r="27">
      <c r="A27" s="16" t="n"/>
      <c r="B27" s="16" t="inlineStr">
        <is>
          <t>Paddle Shark</t>
        </is>
      </c>
      <c r="C27" s="16" t="inlineStr">
        <is>
          <t>Aquatic</t>
        </is>
      </c>
      <c r="D27" s="16" t="n"/>
      <c r="E27" s="16" t="n"/>
      <c r="F27" s="16" t="n"/>
      <c r="G27" s="16" t="n"/>
      <c r="H27" s="16" t="inlineStr">
        <is>
          <t>Tiny Swords (Enemy Pack)/Enemy Pack/Enemy Avatars/Paddle Shark.png</t>
        </is>
      </c>
      <c r="I27" s="16" t="inlineStr">
        <is>
          <t>Avatar only, no sprite sheet found</t>
        </is>
      </c>
      <c r="J27" s="16" t="n"/>
    </row>
    <row r="28">
      <c r="A28" s="16" t="n"/>
      <c r="B28" s="16" t="inlineStr">
        <is>
          <t>Spear Goblin</t>
        </is>
      </c>
      <c r="C28" s="16" t="inlineStr">
        <is>
          <t>Goblinoid</t>
        </is>
      </c>
      <c r="D28" s="16" t="n"/>
      <c r="E28" s="16" t="n"/>
      <c r="F28" s="16" t="n"/>
      <c r="G28" s="16" t="n"/>
      <c r="H28" s="16" t="inlineStr">
        <is>
          <t>Tiny Swords (Enemy Pack)/Enemy Pack/Enemy Avatars/Spear Goblin.png</t>
        </is>
      </c>
      <c r="I28" s="16" t="inlineStr">
        <is>
          <t>Avatar only, no sprite sheet found</t>
        </is>
      </c>
      <c r="J28" s="16" t="n"/>
    </row>
    <row r="29">
      <c r="A29" s="16" t="n"/>
      <c r="B29" s="16" t="inlineStr">
        <is>
          <t>Torch Goblin</t>
        </is>
      </c>
      <c r="C29" s="16" t="inlineStr">
        <is>
          <t>Goblinoid</t>
        </is>
      </c>
      <c r="D29" s="16" t="n"/>
      <c r="E29" s="16" t="n"/>
      <c r="F29" s="16" t="n"/>
      <c r="G29" s="16" t="n"/>
      <c r="H29" s="16" t="inlineStr">
        <is>
          <t>Tiny Swords (Enemy Pack)/Enemy Pack/Enemy Avatars/Torch Goblin.png</t>
        </is>
      </c>
      <c r="I29" s="16" t="inlineStr">
        <is>
          <t>Avatar only, no sprite sheet found</t>
        </is>
      </c>
      <c r="J29" s="16" t="n"/>
    </row>
  </sheetData>
  <mergeCells count="1">
    <mergeCell ref="B17:J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0" customWidth="1" min="4" max="4"/>
    <col width="8" customWidth="1" min="5" max="5"/>
    <col width="30" customWidth="1" min="6" max="6"/>
  </cols>
  <sheetData>
    <row r="1">
      <c r="A1" s="17" t="inlineStr">
        <is>
          <t>Rarity Scale</t>
        </is>
      </c>
    </row>
    <row r="2" ht="30" customHeight="1">
      <c r="A2" s="18" t="inlineStr">
        <is>
          <t>Matches Scripts/main.gd's Rarity enum / RARITY_NAMES (Die.gd). Your notes call the top tier "Mythic" - currently the code calls it "Legendary". Rename here AND in Die.gd/main.gd together if you want to change it, so the ledger and code stay in sync.</t>
        </is>
      </c>
    </row>
    <row r="3">
      <c r="A3" s="10" t="inlineStr">
        <is>
          <t>Rarity</t>
        </is>
      </c>
      <c r="B3" s="10" t="inlineStr">
        <is>
          <t>Stat Multiplier</t>
        </is>
      </c>
      <c r="C3" s="10" t="inlineStr">
        <is>
          <t>Die.gd Roll Weight (reference only)</t>
        </is>
      </c>
    </row>
    <row r="4">
      <c r="A4" s="19" t="inlineStr">
        <is>
          <t>Common</t>
        </is>
      </c>
      <c r="B4" s="20" t="n">
        <v>1</v>
      </c>
      <c r="C4" s="19" t="n">
        <v>60</v>
      </c>
    </row>
    <row r="5">
      <c r="A5" s="19" t="inlineStr">
        <is>
          <t>Uncommon</t>
        </is>
      </c>
      <c r="B5" s="20" t="n">
        <v>1.25</v>
      </c>
      <c r="C5" s="19" t="n">
        <v>25</v>
      </c>
    </row>
    <row r="6">
      <c r="A6" s="19" t="inlineStr">
        <is>
          <t>Rare</t>
        </is>
      </c>
      <c r="B6" s="20" t="n">
        <v>1.6</v>
      </c>
      <c r="C6" s="19" t="n">
        <v>10</v>
      </c>
    </row>
    <row r="7">
      <c r="A7" s="19" t="inlineStr">
        <is>
          <t>Epic</t>
        </is>
      </c>
      <c r="B7" s="20" t="n">
        <v>2.1</v>
      </c>
      <c r="C7" s="19" t="n">
        <v>4</v>
      </c>
    </row>
    <row r="8">
      <c r="A8" s="19" t="inlineStr">
        <is>
          <t>Legendary</t>
        </is>
      </c>
      <c r="B8" s="20" t="n">
        <v>3</v>
      </c>
      <c r="C8" s="19" t="n">
        <v>1</v>
      </c>
    </row>
    <row r="11">
      <c r="A11" s="17" t="inlineStr">
        <is>
          <t>Per-Unit Variants</t>
        </is>
      </c>
    </row>
    <row r="12" ht="28" customHeight="1">
      <c r="A12" s="21" t="inlineStr">
        <is>
          <t>One row per unit x rarity. Damage/HP = Units sheet base stat x the multiplier above. Edit the multipliers, not these rows, to rebalance across the whole roster at once.</t>
        </is>
      </c>
    </row>
    <row r="13">
      <c r="A13" s="10" t="inlineStr">
        <is>
          <t>Unit Name</t>
        </is>
      </c>
      <c r="B13" s="10" t="inlineStr">
        <is>
          <t>Draft Pool</t>
        </is>
      </c>
      <c r="C13" s="10" t="inlineStr">
        <is>
          <t>Rarity</t>
        </is>
      </c>
      <c r="D13" s="10" t="inlineStr">
        <is>
          <t>Damage</t>
        </is>
      </c>
      <c r="E13" s="10" t="inlineStr">
        <is>
          <t>HP</t>
        </is>
      </c>
      <c r="F13" s="10" t="inlineStr">
        <is>
          <t>Ability (future)</t>
        </is>
      </c>
    </row>
    <row r="14">
      <c r="A14" s="19">
        <f>Units!$B$2</f>
        <v/>
      </c>
      <c r="B14" s="19">
        <f>Units!$D$2</f>
        <v/>
      </c>
      <c r="C14" s="19">
        <f>$A$4</f>
        <v/>
      </c>
      <c r="D14" s="19">
        <f>ROUND(Units!$F$2*$B$4,1)</f>
        <v/>
      </c>
      <c r="E14" s="19">
        <f>ROUND(Units!$G$2*$B$4,1)</f>
        <v/>
      </c>
      <c r="F14" s="19" t="inlineStr"/>
    </row>
    <row r="15">
      <c r="A15" s="19">
        <f>Units!$B$2</f>
        <v/>
      </c>
      <c r="B15" s="19">
        <f>Units!$D$2</f>
        <v/>
      </c>
      <c r="C15" s="19">
        <f>$A$5</f>
        <v/>
      </c>
      <c r="D15" s="19">
        <f>ROUND(Units!$F$2*$B$5,1)</f>
        <v/>
      </c>
      <c r="E15" s="19">
        <f>ROUND(Units!$G$2*$B$5,1)</f>
        <v/>
      </c>
      <c r="F15" s="19" t="inlineStr"/>
    </row>
    <row r="16">
      <c r="A16" s="19">
        <f>Units!$B$2</f>
        <v/>
      </c>
      <c r="B16" s="19">
        <f>Units!$D$2</f>
        <v/>
      </c>
      <c r="C16" s="19">
        <f>$A$6</f>
        <v/>
      </c>
      <c r="D16" s="19">
        <f>ROUND(Units!$F$2*$B$6,1)</f>
        <v/>
      </c>
      <c r="E16" s="19">
        <f>ROUND(Units!$G$2*$B$6,1)</f>
        <v/>
      </c>
      <c r="F16" s="19" t="inlineStr"/>
    </row>
    <row r="17">
      <c r="A17" s="19">
        <f>Units!$B$2</f>
        <v/>
      </c>
      <c r="B17" s="19">
        <f>Units!$D$2</f>
        <v/>
      </c>
      <c r="C17" s="19">
        <f>$A$7</f>
        <v/>
      </c>
      <c r="D17" s="19">
        <f>ROUND(Units!$F$2*$B$7,1)</f>
        <v/>
      </c>
      <c r="E17" s="19">
        <f>ROUND(Units!$G$2*$B$7,1)</f>
        <v/>
      </c>
      <c r="F17" s="19" t="inlineStr"/>
    </row>
    <row r="18">
      <c r="A18" s="19">
        <f>Units!$B$2</f>
        <v/>
      </c>
      <c r="B18" s="19">
        <f>Units!$D$2</f>
        <v/>
      </c>
      <c r="C18" s="19">
        <f>$A$8</f>
        <v/>
      </c>
      <c r="D18" s="19">
        <f>ROUND(Units!$F$2*$B$8,1)</f>
        <v/>
      </c>
      <c r="E18" s="19">
        <f>ROUND(Units!$G$2*$B$8,1)</f>
        <v/>
      </c>
      <c r="F18" s="19" t="inlineStr"/>
    </row>
    <row r="19">
      <c r="A19" s="19">
        <f>Units!$B$3</f>
        <v/>
      </c>
      <c r="B19" s="19">
        <f>Units!$D$3</f>
        <v/>
      </c>
      <c r="C19" s="19">
        <f>$A$4</f>
        <v/>
      </c>
      <c r="D19" s="19">
        <f>ROUND(Units!$F$3*$B$4,1)</f>
        <v/>
      </c>
      <c r="E19" s="19">
        <f>ROUND(Units!$G$3*$B$4,1)</f>
        <v/>
      </c>
      <c r="F19" s="19" t="inlineStr"/>
    </row>
    <row r="20">
      <c r="A20" s="19">
        <f>Units!$B$3</f>
        <v/>
      </c>
      <c r="B20" s="19">
        <f>Units!$D$3</f>
        <v/>
      </c>
      <c r="C20" s="19">
        <f>$A$5</f>
        <v/>
      </c>
      <c r="D20" s="19">
        <f>ROUND(Units!$F$3*$B$5,1)</f>
        <v/>
      </c>
      <c r="E20" s="19">
        <f>ROUND(Units!$G$3*$B$5,1)</f>
        <v/>
      </c>
      <c r="F20" s="19" t="inlineStr"/>
    </row>
    <row r="21">
      <c r="A21" s="19">
        <f>Units!$B$3</f>
        <v/>
      </c>
      <c r="B21" s="19">
        <f>Units!$D$3</f>
        <v/>
      </c>
      <c r="C21" s="19">
        <f>$A$6</f>
        <v/>
      </c>
      <c r="D21" s="19">
        <f>ROUND(Units!$F$3*$B$6,1)</f>
        <v/>
      </c>
      <c r="E21" s="19">
        <f>ROUND(Units!$G$3*$B$6,1)</f>
        <v/>
      </c>
      <c r="F21" s="19" t="inlineStr"/>
    </row>
    <row r="22">
      <c r="A22" s="19">
        <f>Units!$B$3</f>
        <v/>
      </c>
      <c r="B22" s="19">
        <f>Units!$D$3</f>
        <v/>
      </c>
      <c r="C22" s="19">
        <f>$A$7</f>
        <v/>
      </c>
      <c r="D22" s="19">
        <f>ROUND(Units!$F$3*$B$7,1)</f>
        <v/>
      </c>
      <c r="E22" s="19">
        <f>ROUND(Units!$G$3*$B$7,1)</f>
        <v/>
      </c>
      <c r="F22" s="19" t="inlineStr"/>
    </row>
    <row r="23">
      <c r="A23" s="19">
        <f>Units!$B$3</f>
        <v/>
      </c>
      <c r="B23" s="19">
        <f>Units!$D$3</f>
        <v/>
      </c>
      <c r="C23" s="19">
        <f>$A$8</f>
        <v/>
      </c>
      <c r="D23" s="19">
        <f>ROUND(Units!$F$3*$B$8,1)</f>
        <v/>
      </c>
      <c r="E23" s="19">
        <f>ROUND(Units!$G$3*$B$8,1)</f>
        <v/>
      </c>
      <c r="F23" s="19" t="inlineStr"/>
    </row>
    <row r="24">
      <c r="A24" s="19">
        <f>Units!$B$4</f>
        <v/>
      </c>
      <c r="B24" s="19">
        <f>Units!$D$4</f>
        <v/>
      </c>
      <c r="C24" s="19">
        <f>$A$4</f>
        <v/>
      </c>
      <c r="D24" s="19">
        <f>ROUND(Units!$F$4*$B$4,1)</f>
        <v/>
      </c>
      <c r="E24" s="19">
        <f>ROUND(Units!$G$4*$B$4,1)</f>
        <v/>
      </c>
      <c r="F24" s="19" t="inlineStr"/>
    </row>
    <row r="25">
      <c r="A25" s="19">
        <f>Units!$B$4</f>
        <v/>
      </c>
      <c r="B25" s="19">
        <f>Units!$D$4</f>
        <v/>
      </c>
      <c r="C25" s="19">
        <f>$A$5</f>
        <v/>
      </c>
      <c r="D25" s="19">
        <f>ROUND(Units!$F$4*$B$5,1)</f>
        <v/>
      </c>
      <c r="E25" s="19">
        <f>ROUND(Units!$G$4*$B$5,1)</f>
        <v/>
      </c>
      <c r="F25" s="19" t="inlineStr"/>
    </row>
    <row r="26">
      <c r="A26" s="19">
        <f>Units!$B$4</f>
        <v/>
      </c>
      <c r="B26" s="19">
        <f>Units!$D$4</f>
        <v/>
      </c>
      <c r="C26" s="19">
        <f>$A$6</f>
        <v/>
      </c>
      <c r="D26" s="19">
        <f>ROUND(Units!$F$4*$B$6,1)</f>
        <v/>
      </c>
      <c r="E26" s="19">
        <f>ROUND(Units!$G$4*$B$6,1)</f>
        <v/>
      </c>
      <c r="F26" s="19" t="inlineStr"/>
    </row>
    <row r="27">
      <c r="A27" s="19">
        <f>Units!$B$4</f>
        <v/>
      </c>
      <c r="B27" s="19">
        <f>Units!$D$4</f>
        <v/>
      </c>
      <c r="C27" s="19">
        <f>$A$7</f>
        <v/>
      </c>
      <c r="D27" s="19">
        <f>ROUND(Units!$F$4*$B$7,1)</f>
        <v/>
      </c>
      <c r="E27" s="19">
        <f>ROUND(Units!$G$4*$B$7,1)</f>
        <v/>
      </c>
      <c r="F27" s="19" t="inlineStr"/>
    </row>
    <row r="28">
      <c r="A28" s="19">
        <f>Units!$B$4</f>
        <v/>
      </c>
      <c r="B28" s="19">
        <f>Units!$D$4</f>
        <v/>
      </c>
      <c r="C28" s="19">
        <f>$A$8</f>
        <v/>
      </c>
      <c r="D28" s="19">
        <f>ROUND(Units!$F$4*$B$8,1)</f>
        <v/>
      </c>
      <c r="E28" s="19">
        <f>ROUND(Units!$G$4*$B$8,1)</f>
        <v/>
      </c>
      <c r="F28" s="19" t="inlineStr"/>
    </row>
    <row r="29">
      <c r="A29" s="19">
        <f>Units!$B$5</f>
        <v/>
      </c>
      <c r="B29" s="19">
        <f>Units!$D$5</f>
        <v/>
      </c>
      <c r="C29" s="19">
        <f>$A$4</f>
        <v/>
      </c>
      <c r="D29" s="19">
        <f>ROUND(Units!$F$5*$B$4,1)</f>
        <v/>
      </c>
      <c r="E29" s="19">
        <f>ROUND(Units!$G$5*$B$4,1)</f>
        <v/>
      </c>
      <c r="F29" s="19" t="inlineStr"/>
    </row>
    <row r="30">
      <c r="A30" s="19">
        <f>Units!$B$5</f>
        <v/>
      </c>
      <c r="B30" s="19">
        <f>Units!$D$5</f>
        <v/>
      </c>
      <c r="C30" s="19">
        <f>$A$5</f>
        <v/>
      </c>
      <c r="D30" s="19">
        <f>ROUND(Units!$F$5*$B$5,1)</f>
        <v/>
      </c>
      <c r="E30" s="19">
        <f>ROUND(Units!$G$5*$B$5,1)</f>
        <v/>
      </c>
      <c r="F30" s="19" t="inlineStr"/>
    </row>
    <row r="31">
      <c r="A31" s="19">
        <f>Units!$B$5</f>
        <v/>
      </c>
      <c r="B31" s="19">
        <f>Units!$D$5</f>
        <v/>
      </c>
      <c r="C31" s="19">
        <f>$A$6</f>
        <v/>
      </c>
      <c r="D31" s="19">
        <f>ROUND(Units!$F$5*$B$6,1)</f>
        <v/>
      </c>
      <c r="E31" s="19">
        <f>ROUND(Units!$G$5*$B$6,1)</f>
        <v/>
      </c>
      <c r="F31" s="19" t="inlineStr"/>
    </row>
    <row r="32">
      <c r="A32" s="19">
        <f>Units!$B$5</f>
        <v/>
      </c>
      <c r="B32" s="19">
        <f>Units!$D$5</f>
        <v/>
      </c>
      <c r="C32" s="19">
        <f>$A$7</f>
        <v/>
      </c>
      <c r="D32" s="19">
        <f>ROUND(Units!$F$5*$B$7,1)</f>
        <v/>
      </c>
      <c r="E32" s="19">
        <f>ROUND(Units!$G$5*$B$7,1)</f>
        <v/>
      </c>
      <c r="F32" s="19" t="inlineStr"/>
    </row>
    <row r="33">
      <c r="A33" s="19">
        <f>Units!$B$5</f>
        <v/>
      </c>
      <c r="B33" s="19">
        <f>Units!$D$5</f>
        <v/>
      </c>
      <c r="C33" s="19">
        <f>$A$8</f>
        <v/>
      </c>
      <c r="D33" s="19">
        <f>ROUND(Units!$F$5*$B$8,1)</f>
        <v/>
      </c>
      <c r="E33" s="19">
        <f>ROUND(Units!$G$5*$B$8,1)</f>
        <v/>
      </c>
      <c r="F33" s="19" t="inlineStr"/>
    </row>
    <row r="34">
      <c r="A34" s="19">
        <f>Units!$B$6</f>
        <v/>
      </c>
      <c r="B34" s="19">
        <f>Units!$D$6</f>
        <v/>
      </c>
      <c r="C34" s="19">
        <f>$A$4</f>
        <v/>
      </c>
      <c r="D34" s="19">
        <f>ROUND(Units!$F$6*$B$4,1)</f>
        <v/>
      </c>
      <c r="E34" s="19">
        <f>ROUND(Units!$G$6*$B$4,1)</f>
        <v/>
      </c>
      <c r="F34" s="19" t="inlineStr"/>
    </row>
    <row r="35">
      <c r="A35" s="19">
        <f>Units!$B$6</f>
        <v/>
      </c>
      <c r="B35" s="19">
        <f>Units!$D$6</f>
        <v/>
      </c>
      <c r="C35" s="19">
        <f>$A$5</f>
        <v/>
      </c>
      <c r="D35" s="19">
        <f>ROUND(Units!$F$6*$B$5,1)</f>
        <v/>
      </c>
      <c r="E35" s="19">
        <f>ROUND(Units!$G$6*$B$5,1)</f>
        <v/>
      </c>
      <c r="F35" s="19" t="inlineStr"/>
    </row>
    <row r="36">
      <c r="A36" s="19">
        <f>Units!$B$6</f>
        <v/>
      </c>
      <c r="B36" s="19">
        <f>Units!$D$6</f>
        <v/>
      </c>
      <c r="C36" s="19">
        <f>$A$6</f>
        <v/>
      </c>
      <c r="D36" s="19">
        <f>ROUND(Units!$F$6*$B$6,1)</f>
        <v/>
      </c>
      <c r="E36" s="19">
        <f>ROUND(Units!$G$6*$B$6,1)</f>
        <v/>
      </c>
      <c r="F36" s="19" t="inlineStr"/>
    </row>
    <row r="37">
      <c r="A37" s="19">
        <f>Units!$B$6</f>
        <v/>
      </c>
      <c r="B37" s="19">
        <f>Units!$D$6</f>
        <v/>
      </c>
      <c r="C37" s="19">
        <f>$A$7</f>
        <v/>
      </c>
      <c r="D37" s="19">
        <f>ROUND(Units!$F$6*$B$7,1)</f>
        <v/>
      </c>
      <c r="E37" s="19">
        <f>ROUND(Units!$G$6*$B$7,1)</f>
        <v/>
      </c>
      <c r="F37" s="19" t="inlineStr"/>
    </row>
    <row r="38">
      <c r="A38" s="19">
        <f>Units!$B$6</f>
        <v/>
      </c>
      <c r="B38" s="19">
        <f>Units!$D$6</f>
        <v/>
      </c>
      <c r="C38" s="19">
        <f>$A$8</f>
        <v/>
      </c>
      <c r="D38" s="19">
        <f>ROUND(Units!$F$6*$B$8,1)</f>
        <v/>
      </c>
      <c r="E38" s="19">
        <f>ROUND(Units!$G$6*$B$8,1)</f>
        <v/>
      </c>
      <c r="F38" s="19" t="inlineStr"/>
    </row>
    <row r="39">
      <c r="A39" s="19">
        <f>Units!$B$7</f>
        <v/>
      </c>
      <c r="B39" s="19">
        <f>Units!$D$7</f>
        <v/>
      </c>
      <c r="C39" s="19">
        <f>$A$4</f>
        <v/>
      </c>
      <c r="D39" s="19">
        <f>ROUND(Units!$F$7*$B$4,1)</f>
        <v/>
      </c>
      <c r="E39" s="19">
        <f>ROUND(Units!$G$7*$B$4,1)</f>
        <v/>
      </c>
      <c r="F39" s="19" t="inlineStr"/>
    </row>
    <row r="40">
      <c r="A40" s="19">
        <f>Units!$B$7</f>
        <v/>
      </c>
      <c r="B40" s="19">
        <f>Units!$D$7</f>
        <v/>
      </c>
      <c r="C40" s="19">
        <f>$A$5</f>
        <v/>
      </c>
      <c r="D40" s="19">
        <f>ROUND(Units!$F$7*$B$5,1)</f>
        <v/>
      </c>
      <c r="E40" s="19">
        <f>ROUND(Units!$G$7*$B$5,1)</f>
        <v/>
      </c>
      <c r="F40" s="19" t="inlineStr"/>
    </row>
    <row r="41">
      <c r="A41" s="19">
        <f>Units!$B$7</f>
        <v/>
      </c>
      <c r="B41" s="19">
        <f>Units!$D$7</f>
        <v/>
      </c>
      <c r="C41" s="19">
        <f>$A$6</f>
        <v/>
      </c>
      <c r="D41" s="19">
        <f>ROUND(Units!$F$7*$B$6,1)</f>
        <v/>
      </c>
      <c r="E41" s="19">
        <f>ROUND(Units!$G$7*$B$6,1)</f>
        <v/>
      </c>
      <c r="F41" s="19" t="inlineStr"/>
    </row>
    <row r="42">
      <c r="A42" s="19">
        <f>Units!$B$7</f>
        <v/>
      </c>
      <c r="B42" s="19">
        <f>Units!$D$7</f>
        <v/>
      </c>
      <c r="C42" s="19">
        <f>$A$7</f>
        <v/>
      </c>
      <c r="D42" s="19">
        <f>ROUND(Units!$F$7*$B$7,1)</f>
        <v/>
      </c>
      <c r="E42" s="19">
        <f>ROUND(Units!$G$7*$B$7,1)</f>
        <v/>
      </c>
      <c r="F42" s="19" t="inlineStr"/>
    </row>
    <row r="43">
      <c r="A43" s="19">
        <f>Units!$B$7</f>
        <v/>
      </c>
      <c r="B43" s="19">
        <f>Units!$D$7</f>
        <v/>
      </c>
      <c r="C43" s="19">
        <f>$A$8</f>
        <v/>
      </c>
      <c r="D43" s="19">
        <f>ROUND(Units!$F$7*$B$8,1)</f>
        <v/>
      </c>
      <c r="E43" s="19">
        <f>ROUND(Units!$G$7*$B$8,1)</f>
        <v/>
      </c>
      <c r="F43" s="19" t="inlineStr"/>
    </row>
    <row r="44">
      <c r="A44" s="19">
        <f>Units!$B$8</f>
        <v/>
      </c>
      <c r="B44" s="19">
        <f>Units!$D$8</f>
        <v/>
      </c>
      <c r="C44" s="19">
        <f>$A$4</f>
        <v/>
      </c>
      <c r="D44" s="19">
        <f>ROUND(Units!$F$8*$B$4,1)</f>
        <v/>
      </c>
      <c r="E44" s="19">
        <f>ROUND(Units!$G$8*$B$4,1)</f>
        <v/>
      </c>
      <c r="F44" s="19" t="inlineStr"/>
    </row>
    <row r="45">
      <c r="A45" s="19">
        <f>Units!$B$8</f>
        <v/>
      </c>
      <c r="B45" s="19">
        <f>Units!$D$8</f>
        <v/>
      </c>
      <c r="C45" s="19">
        <f>$A$5</f>
        <v/>
      </c>
      <c r="D45" s="19">
        <f>ROUND(Units!$F$8*$B$5,1)</f>
        <v/>
      </c>
      <c r="E45" s="19">
        <f>ROUND(Units!$G$8*$B$5,1)</f>
        <v/>
      </c>
      <c r="F45" s="19" t="inlineStr"/>
    </row>
    <row r="46">
      <c r="A46" s="19">
        <f>Units!$B$8</f>
        <v/>
      </c>
      <c r="B46" s="19">
        <f>Units!$D$8</f>
        <v/>
      </c>
      <c r="C46" s="19">
        <f>$A$6</f>
        <v/>
      </c>
      <c r="D46" s="19">
        <f>ROUND(Units!$F$8*$B$6,1)</f>
        <v/>
      </c>
      <c r="E46" s="19">
        <f>ROUND(Units!$G$8*$B$6,1)</f>
        <v/>
      </c>
      <c r="F46" s="19" t="inlineStr"/>
    </row>
    <row r="47">
      <c r="A47" s="19">
        <f>Units!$B$8</f>
        <v/>
      </c>
      <c r="B47" s="19">
        <f>Units!$D$8</f>
        <v/>
      </c>
      <c r="C47" s="19">
        <f>$A$7</f>
        <v/>
      </c>
      <c r="D47" s="19">
        <f>ROUND(Units!$F$8*$B$7,1)</f>
        <v/>
      </c>
      <c r="E47" s="19">
        <f>ROUND(Units!$G$8*$B$7,1)</f>
        <v/>
      </c>
      <c r="F47" s="19" t="inlineStr"/>
    </row>
    <row r="48">
      <c r="A48" s="19">
        <f>Units!$B$8</f>
        <v/>
      </c>
      <c r="B48" s="19">
        <f>Units!$D$8</f>
        <v/>
      </c>
      <c r="C48" s="19">
        <f>$A$8</f>
        <v/>
      </c>
      <c r="D48" s="19">
        <f>ROUND(Units!$F$8*$B$8,1)</f>
        <v/>
      </c>
      <c r="E48" s="19">
        <f>ROUND(Units!$G$8*$B$8,1)</f>
        <v/>
      </c>
      <c r="F48" s="19" t="inlineStr"/>
    </row>
    <row r="49">
      <c r="A49" s="19">
        <f>Units!$B$9</f>
        <v/>
      </c>
      <c r="B49" s="19">
        <f>Units!$D$9</f>
        <v/>
      </c>
      <c r="C49" s="19">
        <f>$A$4</f>
        <v/>
      </c>
      <c r="D49" s="19">
        <f>ROUND(Units!$F$9*$B$4,1)</f>
        <v/>
      </c>
      <c r="E49" s="19">
        <f>ROUND(Units!$G$9*$B$4,1)</f>
        <v/>
      </c>
      <c r="F49" s="19" t="inlineStr"/>
    </row>
    <row r="50">
      <c r="A50" s="19">
        <f>Units!$B$9</f>
        <v/>
      </c>
      <c r="B50" s="19">
        <f>Units!$D$9</f>
        <v/>
      </c>
      <c r="C50" s="19">
        <f>$A$5</f>
        <v/>
      </c>
      <c r="D50" s="19">
        <f>ROUND(Units!$F$9*$B$5,1)</f>
        <v/>
      </c>
      <c r="E50" s="19">
        <f>ROUND(Units!$G$9*$B$5,1)</f>
        <v/>
      </c>
      <c r="F50" s="19" t="inlineStr"/>
    </row>
    <row r="51">
      <c r="A51" s="19">
        <f>Units!$B$9</f>
        <v/>
      </c>
      <c r="B51" s="19">
        <f>Units!$D$9</f>
        <v/>
      </c>
      <c r="C51" s="19">
        <f>$A$6</f>
        <v/>
      </c>
      <c r="D51" s="19">
        <f>ROUND(Units!$F$9*$B$6,1)</f>
        <v/>
      </c>
      <c r="E51" s="19">
        <f>ROUND(Units!$G$9*$B$6,1)</f>
        <v/>
      </c>
      <c r="F51" s="19" t="inlineStr"/>
    </row>
    <row r="52">
      <c r="A52" s="19">
        <f>Units!$B$9</f>
        <v/>
      </c>
      <c r="B52" s="19">
        <f>Units!$D$9</f>
        <v/>
      </c>
      <c r="C52" s="19">
        <f>$A$7</f>
        <v/>
      </c>
      <c r="D52" s="19">
        <f>ROUND(Units!$F$9*$B$7,1)</f>
        <v/>
      </c>
      <c r="E52" s="19">
        <f>ROUND(Units!$G$9*$B$7,1)</f>
        <v/>
      </c>
      <c r="F52" s="19" t="inlineStr"/>
    </row>
    <row r="53">
      <c r="A53" s="19">
        <f>Units!$B$9</f>
        <v/>
      </c>
      <c r="B53" s="19">
        <f>Units!$D$9</f>
        <v/>
      </c>
      <c r="C53" s="19">
        <f>$A$8</f>
        <v/>
      </c>
      <c r="D53" s="19">
        <f>ROUND(Units!$F$9*$B$8,1)</f>
        <v/>
      </c>
      <c r="E53" s="19">
        <f>ROUND(Units!$G$9*$B$8,1)</f>
        <v/>
      </c>
      <c r="F53" s="19" t="inlineStr"/>
    </row>
    <row r="54">
      <c r="A54" s="19">
        <f>Units!$B$10</f>
        <v/>
      </c>
      <c r="B54" s="19">
        <f>Units!$D$10</f>
        <v/>
      </c>
      <c r="C54" s="19">
        <f>$A$4</f>
        <v/>
      </c>
      <c r="D54" s="19">
        <f>ROUND(Units!$F$10*$B$4,1)</f>
        <v/>
      </c>
      <c r="E54" s="19">
        <f>ROUND(Units!$G$10*$B$4,1)</f>
        <v/>
      </c>
      <c r="F54" s="19" t="inlineStr"/>
    </row>
    <row r="55">
      <c r="A55" s="19">
        <f>Units!$B$10</f>
        <v/>
      </c>
      <c r="B55" s="19">
        <f>Units!$D$10</f>
        <v/>
      </c>
      <c r="C55" s="19">
        <f>$A$5</f>
        <v/>
      </c>
      <c r="D55" s="19">
        <f>ROUND(Units!$F$10*$B$5,1)</f>
        <v/>
      </c>
      <c r="E55" s="19">
        <f>ROUND(Units!$G$10*$B$5,1)</f>
        <v/>
      </c>
      <c r="F55" s="19" t="inlineStr"/>
    </row>
    <row r="56">
      <c r="A56" s="19">
        <f>Units!$B$10</f>
        <v/>
      </c>
      <c r="B56" s="19">
        <f>Units!$D$10</f>
        <v/>
      </c>
      <c r="C56" s="19">
        <f>$A$6</f>
        <v/>
      </c>
      <c r="D56" s="19">
        <f>ROUND(Units!$F$10*$B$6,1)</f>
        <v/>
      </c>
      <c r="E56" s="19">
        <f>ROUND(Units!$G$10*$B$6,1)</f>
        <v/>
      </c>
      <c r="F56" s="19" t="inlineStr"/>
    </row>
    <row r="57">
      <c r="A57" s="19">
        <f>Units!$B$10</f>
        <v/>
      </c>
      <c r="B57" s="19">
        <f>Units!$D$10</f>
        <v/>
      </c>
      <c r="C57" s="19">
        <f>$A$7</f>
        <v/>
      </c>
      <c r="D57" s="19">
        <f>ROUND(Units!$F$10*$B$7,1)</f>
        <v/>
      </c>
      <c r="E57" s="19">
        <f>ROUND(Units!$G$10*$B$7,1)</f>
        <v/>
      </c>
      <c r="F57" s="19" t="inlineStr"/>
    </row>
    <row r="58">
      <c r="A58" s="19">
        <f>Units!$B$10</f>
        <v/>
      </c>
      <c r="B58" s="19">
        <f>Units!$D$10</f>
        <v/>
      </c>
      <c r="C58" s="19">
        <f>$A$8</f>
        <v/>
      </c>
      <c r="D58" s="19">
        <f>ROUND(Units!$F$10*$B$8,1)</f>
        <v/>
      </c>
      <c r="E58" s="19">
        <f>ROUND(Units!$G$10*$B$8,1)</f>
        <v/>
      </c>
      <c r="F58" s="19" t="inlineStr"/>
    </row>
    <row r="59">
      <c r="A59" s="19">
        <f>Units!$B$11</f>
        <v/>
      </c>
      <c r="B59" s="19">
        <f>Units!$D$11</f>
        <v/>
      </c>
      <c r="C59" s="19">
        <f>$A$4</f>
        <v/>
      </c>
      <c r="D59" s="19">
        <f>ROUND(Units!$F$11*$B$4,1)</f>
        <v/>
      </c>
      <c r="E59" s="19">
        <f>ROUND(Units!$G$11*$B$4,1)</f>
        <v/>
      </c>
      <c r="F59" s="19" t="inlineStr"/>
    </row>
    <row r="60">
      <c r="A60" s="19">
        <f>Units!$B$11</f>
        <v/>
      </c>
      <c r="B60" s="19">
        <f>Units!$D$11</f>
        <v/>
      </c>
      <c r="C60" s="19">
        <f>$A$5</f>
        <v/>
      </c>
      <c r="D60" s="19">
        <f>ROUND(Units!$F$11*$B$5,1)</f>
        <v/>
      </c>
      <c r="E60" s="19">
        <f>ROUND(Units!$G$11*$B$5,1)</f>
        <v/>
      </c>
      <c r="F60" s="19" t="inlineStr"/>
    </row>
    <row r="61">
      <c r="A61" s="19">
        <f>Units!$B$11</f>
        <v/>
      </c>
      <c r="B61" s="19">
        <f>Units!$D$11</f>
        <v/>
      </c>
      <c r="C61" s="19">
        <f>$A$6</f>
        <v/>
      </c>
      <c r="D61" s="19">
        <f>ROUND(Units!$F$11*$B$6,1)</f>
        <v/>
      </c>
      <c r="E61" s="19">
        <f>ROUND(Units!$G$11*$B$6,1)</f>
        <v/>
      </c>
      <c r="F61" s="19" t="inlineStr"/>
    </row>
    <row r="62">
      <c r="A62" s="19">
        <f>Units!$B$11</f>
        <v/>
      </c>
      <c r="B62" s="19">
        <f>Units!$D$11</f>
        <v/>
      </c>
      <c r="C62" s="19">
        <f>$A$7</f>
        <v/>
      </c>
      <c r="D62" s="19">
        <f>ROUND(Units!$F$11*$B$7,1)</f>
        <v/>
      </c>
      <c r="E62" s="19">
        <f>ROUND(Units!$G$11*$B$7,1)</f>
        <v/>
      </c>
      <c r="F62" s="19" t="inlineStr"/>
    </row>
    <row r="63">
      <c r="A63" s="19">
        <f>Units!$B$11</f>
        <v/>
      </c>
      <c r="B63" s="19">
        <f>Units!$D$11</f>
        <v/>
      </c>
      <c r="C63" s="19">
        <f>$A$8</f>
        <v/>
      </c>
      <c r="D63" s="19">
        <f>ROUND(Units!$F$11*$B$8,1)</f>
        <v/>
      </c>
      <c r="E63" s="19">
        <f>ROUND(Units!$G$11*$B$8,1)</f>
        <v/>
      </c>
      <c r="F63" s="19" t="inlineStr"/>
    </row>
    <row r="64">
      <c r="A64" s="19">
        <f>Units!$B$12</f>
        <v/>
      </c>
      <c r="B64" s="19">
        <f>Units!$D$12</f>
        <v/>
      </c>
      <c r="C64" s="19">
        <f>$A$4</f>
        <v/>
      </c>
      <c r="D64" s="19">
        <f>ROUND(Units!$F$12*$B$4,1)</f>
        <v/>
      </c>
      <c r="E64" s="19">
        <f>ROUND(Units!$G$12*$B$4,1)</f>
        <v/>
      </c>
      <c r="F64" s="19" t="inlineStr"/>
    </row>
    <row r="65">
      <c r="A65" s="19">
        <f>Units!$B$12</f>
        <v/>
      </c>
      <c r="B65" s="19">
        <f>Units!$D$12</f>
        <v/>
      </c>
      <c r="C65" s="19">
        <f>$A$5</f>
        <v/>
      </c>
      <c r="D65" s="19">
        <f>ROUND(Units!$F$12*$B$5,1)</f>
        <v/>
      </c>
      <c r="E65" s="19">
        <f>ROUND(Units!$G$12*$B$5,1)</f>
        <v/>
      </c>
      <c r="F65" s="19" t="inlineStr"/>
    </row>
    <row r="66">
      <c r="A66" s="19">
        <f>Units!$B$12</f>
        <v/>
      </c>
      <c r="B66" s="19">
        <f>Units!$D$12</f>
        <v/>
      </c>
      <c r="C66" s="19">
        <f>$A$6</f>
        <v/>
      </c>
      <c r="D66" s="19">
        <f>ROUND(Units!$F$12*$B$6,1)</f>
        <v/>
      </c>
      <c r="E66" s="19">
        <f>ROUND(Units!$G$12*$B$6,1)</f>
        <v/>
      </c>
      <c r="F66" s="19" t="inlineStr"/>
    </row>
    <row r="67">
      <c r="A67" s="19">
        <f>Units!$B$12</f>
        <v/>
      </c>
      <c r="B67" s="19">
        <f>Units!$D$12</f>
        <v/>
      </c>
      <c r="C67" s="19">
        <f>$A$7</f>
        <v/>
      </c>
      <c r="D67" s="19">
        <f>ROUND(Units!$F$12*$B$7,1)</f>
        <v/>
      </c>
      <c r="E67" s="19">
        <f>ROUND(Units!$G$12*$B$7,1)</f>
        <v/>
      </c>
      <c r="F67" s="19" t="inlineStr"/>
    </row>
    <row r="68">
      <c r="A68" s="19">
        <f>Units!$B$12</f>
        <v/>
      </c>
      <c r="B68" s="19">
        <f>Units!$D$12</f>
        <v/>
      </c>
      <c r="C68" s="19">
        <f>$A$8</f>
        <v/>
      </c>
      <c r="D68" s="19">
        <f>ROUND(Units!$F$12*$B$8,1)</f>
        <v/>
      </c>
      <c r="E68" s="19">
        <f>ROUND(Units!$G$12*$B$8,1)</f>
        <v/>
      </c>
      <c r="F68" s="19" t="inlineStr"/>
    </row>
    <row r="69">
      <c r="A69" s="19">
        <f>Units!$B$13</f>
        <v/>
      </c>
      <c r="B69" s="19">
        <f>Units!$D$13</f>
        <v/>
      </c>
      <c r="C69" s="19">
        <f>$A$4</f>
        <v/>
      </c>
      <c r="D69" s="19">
        <f>ROUND(Units!$F$13*$B$4,1)</f>
        <v/>
      </c>
      <c r="E69" s="19">
        <f>ROUND(Units!$G$13*$B$4,1)</f>
        <v/>
      </c>
      <c r="F69" s="19" t="inlineStr"/>
    </row>
    <row r="70">
      <c r="A70" s="19">
        <f>Units!$B$13</f>
        <v/>
      </c>
      <c r="B70" s="19">
        <f>Units!$D$13</f>
        <v/>
      </c>
      <c r="C70" s="19">
        <f>$A$5</f>
        <v/>
      </c>
      <c r="D70" s="19">
        <f>ROUND(Units!$F$13*$B$5,1)</f>
        <v/>
      </c>
      <c r="E70" s="19">
        <f>ROUND(Units!$G$13*$B$5,1)</f>
        <v/>
      </c>
      <c r="F70" s="19" t="inlineStr"/>
    </row>
    <row r="71">
      <c r="A71" s="19">
        <f>Units!$B$13</f>
        <v/>
      </c>
      <c r="B71" s="19">
        <f>Units!$D$13</f>
        <v/>
      </c>
      <c r="C71" s="19">
        <f>$A$6</f>
        <v/>
      </c>
      <c r="D71" s="19">
        <f>ROUND(Units!$F$13*$B$6,1)</f>
        <v/>
      </c>
      <c r="E71" s="19">
        <f>ROUND(Units!$G$13*$B$6,1)</f>
        <v/>
      </c>
      <c r="F71" s="19" t="inlineStr"/>
    </row>
    <row r="72">
      <c r="A72" s="19">
        <f>Units!$B$13</f>
        <v/>
      </c>
      <c r="B72" s="19">
        <f>Units!$D$13</f>
        <v/>
      </c>
      <c r="C72" s="19">
        <f>$A$7</f>
        <v/>
      </c>
      <c r="D72" s="19">
        <f>ROUND(Units!$F$13*$B$7,1)</f>
        <v/>
      </c>
      <c r="E72" s="19">
        <f>ROUND(Units!$G$13*$B$7,1)</f>
        <v/>
      </c>
      <c r="F72" s="19" t="inlineStr"/>
    </row>
    <row r="73">
      <c r="A73" s="19">
        <f>Units!$B$13</f>
        <v/>
      </c>
      <c r="B73" s="19">
        <f>Units!$D$13</f>
        <v/>
      </c>
      <c r="C73" s="19">
        <f>$A$8</f>
        <v/>
      </c>
      <c r="D73" s="19">
        <f>ROUND(Units!$F$13*$B$8,1)</f>
        <v/>
      </c>
      <c r="E73" s="19">
        <f>ROUND(Units!$G$13*$B$8,1)</f>
        <v/>
      </c>
      <c r="F73" s="19" t="inlineStr"/>
    </row>
    <row r="74">
      <c r="A74" s="19">
        <f>Units!$B$14</f>
        <v/>
      </c>
      <c r="B74" s="19">
        <f>Units!$D$14</f>
        <v/>
      </c>
      <c r="C74" s="19">
        <f>$A$4</f>
        <v/>
      </c>
      <c r="D74" s="19">
        <f>ROUND(Units!$F$14*$B$4,1)</f>
        <v/>
      </c>
      <c r="E74" s="19">
        <f>ROUND(Units!$G$14*$B$4,1)</f>
        <v/>
      </c>
      <c r="F74" s="19" t="inlineStr"/>
    </row>
    <row r="75">
      <c r="A75" s="19">
        <f>Units!$B$14</f>
        <v/>
      </c>
      <c r="B75" s="19">
        <f>Units!$D$14</f>
        <v/>
      </c>
      <c r="C75" s="19">
        <f>$A$5</f>
        <v/>
      </c>
      <c r="D75" s="19">
        <f>ROUND(Units!$F$14*$B$5,1)</f>
        <v/>
      </c>
      <c r="E75" s="19">
        <f>ROUND(Units!$G$14*$B$5,1)</f>
        <v/>
      </c>
      <c r="F75" s="19" t="inlineStr"/>
    </row>
    <row r="76">
      <c r="A76" s="19">
        <f>Units!$B$14</f>
        <v/>
      </c>
      <c r="B76" s="19">
        <f>Units!$D$14</f>
        <v/>
      </c>
      <c r="C76" s="19">
        <f>$A$6</f>
        <v/>
      </c>
      <c r="D76" s="19">
        <f>ROUND(Units!$F$14*$B$6,1)</f>
        <v/>
      </c>
      <c r="E76" s="19">
        <f>ROUND(Units!$G$14*$B$6,1)</f>
        <v/>
      </c>
      <c r="F76" s="19" t="inlineStr"/>
    </row>
    <row r="77">
      <c r="A77" s="19">
        <f>Units!$B$14</f>
        <v/>
      </c>
      <c r="B77" s="19">
        <f>Units!$D$14</f>
        <v/>
      </c>
      <c r="C77" s="19">
        <f>$A$7</f>
        <v/>
      </c>
      <c r="D77" s="19">
        <f>ROUND(Units!$F$14*$B$7,1)</f>
        <v/>
      </c>
      <c r="E77" s="19">
        <f>ROUND(Units!$G$14*$B$7,1)</f>
        <v/>
      </c>
      <c r="F77" s="19" t="inlineStr"/>
    </row>
    <row r="78">
      <c r="A78" s="19">
        <f>Units!$B$14</f>
        <v/>
      </c>
      <c r="B78" s="19">
        <f>Units!$D$14</f>
        <v/>
      </c>
      <c r="C78" s="19">
        <f>$A$8</f>
        <v/>
      </c>
      <c r="D78" s="19">
        <f>ROUND(Units!$F$14*$B$8,1)</f>
        <v/>
      </c>
      <c r="E78" s="19">
        <f>ROUND(Units!$G$14*$B$8,1)</f>
        <v/>
      </c>
      <c r="F78" s="19" t="inlineStr"/>
    </row>
    <row r="79">
      <c r="A79" s="19">
        <f>Units!$B$15</f>
        <v/>
      </c>
      <c r="B79" s="19">
        <f>Units!$D$15</f>
        <v/>
      </c>
      <c r="C79" s="19">
        <f>$A$4</f>
        <v/>
      </c>
      <c r="D79" s="19">
        <f>ROUND(Units!$F$15*$B$4,1)</f>
        <v/>
      </c>
      <c r="E79" s="19">
        <f>ROUND(Units!$G$15*$B$4,1)</f>
        <v/>
      </c>
      <c r="F79" s="19" t="inlineStr"/>
    </row>
    <row r="80">
      <c r="A80" s="19">
        <f>Units!$B$15</f>
        <v/>
      </c>
      <c r="B80" s="19">
        <f>Units!$D$15</f>
        <v/>
      </c>
      <c r="C80" s="19">
        <f>$A$5</f>
        <v/>
      </c>
      <c r="D80" s="19">
        <f>ROUND(Units!$F$15*$B$5,1)</f>
        <v/>
      </c>
      <c r="E80" s="19">
        <f>ROUND(Units!$G$15*$B$5,1)</f>
        <v/>
      </c>
      <c r="F80" s="19" t="inlineStr"/>
    </row>
    <row r="81">
      <c r="A81" s="19">
        <f>Units!$B$15</f>
        <v/>
      </c>
      <c r="B81" s="19">
        <f>Units!$D$15</f>
        <v/>
      </c>
      <c r="C81" s="19">
        <f>$A$6</f>
        <v/>
      </c>
      <c r="D81" s="19">
        <f>ROUND(Units!$F$15*$B$6,1)</f>
        <v/>
      </c>
      <c r="E81" s="19">
        <f>ROUND(Units!$G$15*$B$6,1)</f>
        <v/>
      </c>
      <c r="F81" s="19" t="inlineStr"/>
    </row>
    <row r="82">
      <c r="A82" s="19">
        <f>Units!$B$15</f>
        <v/>
      </c>
      <c r="B82" s="19">
        <f>Units!$D$15</f>
        <v/>
      </c>
      <c r="C82" s="19">
        <f>$A$7</f>
        <v/>
      </c>
      <c r="D82" s="19">
        <f>ROUND(Units!$F$15*$B$7,1)</f>
        <v/>
      </c>
      <c r="E82" s="19">
        <f>ROUND(Units!$G$15*$B$7,1)</f>
        <v/>
      </c>
      <c r="F82" s="19" t="inlineStr"/>
    </row>
    <row r="83">
      <c r="A83" s="19">
        <f>Units!$B$15</f>
        <v/>
      </c>
      <c r="B83" s="19">
        <f>Units!$D$15</f>
        <v/>
      </c>
      <c r="C83" s="19">
        <f>$A$8</f>
        <v/>
      </c>
      <c r="D83" s="19">
        <f>ROUND(Units!$F$15*$B$8,1)</f>
        <v/>
      </c>
      <c r="E83" s="19">
        <f>ROUND(Units!$G$15*$B$8,1)</f>
        <v/>
      </c>
      <c r="F83" s="19" t="inlineStr"/>
    </row>
  </sheetData>
  <mergeCells count="2">
    <mergeCell ref="A2:F2"/>
    <mergeCell ref="A12:F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20" customWidth="1" min="4" max="4"/>
    <col width="46" customWidth="1" min="5" max="5"/>
  </cols>
  <sheetData>
    <row r="1">
      <c r="A1" s="17" t="inlineStr">
        <is>
          <t>TYPE roll -&gt; Draft Pool</t>
        </is>
      </c>
    </row>
    <row r="2" ht="30" customHeight="1">
      <c r="A2" s="18" t="inlineStr">
        <is>
          <t>Mirrors Scripts/main.gd's SUM_TO_RANGE and get_ledger_rows() exactly - this is the same grouping the in-game Roll Ledger button shows. Edit Draft Pool here AND in SUM_TO_RANGE together if you change which sums draft which pool.</t>
        </is>
      </c>
    </row>
    <row r="3">
      <c r="A3" s="10" t="inlineStr">
        <is>
          <t>Sum Range</t>
        </is>
      </c>
      <c r="B3" s="10" t="inlineStr">
        <is>
          <t>2d6 Sums</t>
        </is>
      </c>
      <c r="C3" s="10" t="inlineStr">
        <is>
          <t>Draft Pool</t>
        </is>
      </c>
      <c r="D3" s="10" t="inlineStr">
        <is>
          <t>Units Currently in Pool</t>
        </is>
      </c>
      <c r="E3" s="10" t="inlineStr">
        <is>
          <t>Notes</t>
        </is>
      </c>
    </row>
    <row r="4">
      <c r="A4" s="14" t="inlineStr">
        <is>
          <t>2</t>
        </is>
      </c>
      <c r="B4" s="13" t="inlineStr">
        <is>
          <t>2</t>
        </is>
      </c>
      <c r="C4" s="14" t="inlineStr">
        <is>
          <t>Boss</t>
        </is>
      </c>
      <c r="D4" s="13">
        <f>COUNTIF(Units!$D$2:$D$15,$C4)&amp;" units"</f>
        <v/>
      </c>
      <c r="E4" s="13" t="inlineStr">
        <is>
          <t>Only the single 2-2 roll (1/36 chance) drafts the boss pool.</t>
        </is>
      </c>
    </row>
    <row r="5">
      <c r="A5" s="14" t="inlineStr">
        <is>
          <t>3-4</t>
        </is>
      </c>
      <c r="B5" s="13" t="inlineStr">
        <is>
          <t>3, 4</t>
        </is>
      </c>
      <c r="C5" s="14" t="inlineStr">
        <is>
          <t>Rare</t>
        </is>
      </c>
      <c r="D5" s="13">
        <f>COUNTIF(Units!$D$2:$D$15,$C5)&amp;" units"</f>
        <v/>
      </c>
      <c r="E5" s="13" t="inlineStr"/>
    </row>
    <row r="6">
      <c r="A6" s="14" t="inlineStr">
        <is>
          <t>5-9</t>
        </is>
      </c>
      <c r="B6" s="13" t="inlineStr">
        <is>
          <t>5, 6, 7, 8, 9</t>
        </is>
      </c>
      <c r="C6" s="14" t="inlineStr">
        <is>
          <t>Common</t>
        </is>
      </c>
      <c r="D6" s="13">
        <f>COUNTIF(Units!$D$2:$D$15,$C6)&amp;" units"</f>
        <v/>
      </c>
      <c r="E6" s="13" t="inlineStr">
        <is>
          <t>Bulk of the bell curve - most rolls land here.</t>
        </is>
      </c>
    </row>
    <row r="7">
      <c r="A7" s="14" t="inlineStr">
        <is>
          <t>10-12</t>
        </is>
      </c>
      <c r="B7" s="13" t="inlineStr">
        <is>
          <t>10, 11, 12</t>
        </is>
      </c>
      <c r="C7" s="14" t="inlineStr">
        <is>
          <t>Rare</t>
        </is>
      </c>
      <c r="D7" s="13">
        <f>COUNTIF(Units!$D$2:$D$15,$C7)&amp;" units"</f>
        <v/>
      </c>
      <c r="E7" s="13" t="inlineStr">
        <is>
          <t>Same Rare pool as 3-4, reachable from both tails of the curve.</t>
        </is>
      </c>
    </row>
  </sheetData>
  <mergeCells count="1">
    <mergeCell ref="A2:E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22" customWidth="1" min="3" max="3"/>
    <col width="10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7" t="inlineStr">
        <is>
          <t>Village Loadouts (5 slots per village)</t>
        </is>
      </c>
    </row>
    <row r="2" ht="42" customHeight="1">
      <c r="A2" s="18" t="inlineStr">
        <is>
          <t>Per the design doc: the player picks which units fill a village's slots before a raid, rather than every drafted unit auto-joining. Slot count is a column (not hardcoded to 5) since "5" is a current assumption, not locked. Slot cells are dropdowns pulled from the Units sheet's Unit Name column.</t>
        </is>
      </c>
    </row>
    <row r="4">
      <c r="A4" s="10" t="inlineStr">
        <is>
          <t>Village Name</t>
        </is>
      </c>
      <c r="B4" s="10" t="inlineStr">
        <is>
          <t>Village Tier</t>
        </is>
      </c>
      <c r="C4" s="10" t="inlineStr">
        <is>
          <t>Win Condition</t>
        </is>
      </c>
      <c r="D4" s="10" t="inlineStr">
        <is>
          <t>Slot Count</t>
        </is>
      </c>
      <c r="E4" s="10" t="inlineStr">
        <is>
          <t>Slot 1</t>
        </is>
      </c>
      <c r="F4" s="10" t="inlineStr">
        <is>
          <t>Slot 2</t>
        </is>
      </c>
      <c r="G4" s="10" t="inlineStr">
        <is>
          <t>Slot 3</t>
        </is>
      </c>
      <c r="H4" s="10" t="inlineStr">
        <is>
          <t>Slot 4</t>
        </is>
      </c>
      <c r="I4" s="10" t="inlineStr">
        <is>
          <t>Slot 5</t>
        </is>
      </c>
    </row>
    <row r="5">
      <c r="A5" s="22" t="inlineStr">
        <is>
          <t>Millbrook (example)</t>
        </is>
      </c>
      <c r="B5" s="22" t="inlineStr">
        <is>
          <t>Small / Early</t>
        </is>
      </c>
      <c r="C5" s="22" t="inlineStr">
        <is>
          <t>Destroy all buildings</t>
        </is>
      </c>
      <c r="D5" s="22" t="n">
        <v>5</v>
      </c>
      <c r="E5" s="22" t="inlineStr">
        <is>
          <t>Skull</t>
        </is>
      </c>
      <c r="F5" s="22" t="inlineStr">
        <is>
          <t>Gnoll</t>
        </is>
      </c>
      <c r="G5" s="22" t="inlineStr">
        <is>
          <t>Gnome</t>
        </is>
      </c>
      <c r="H5" s="22" t="inlineStr">
        <is>
          <t>Thief</t>
        </is>
      </c>
      <c r="I5" s="22" t="inlineStr">
        <is>
          <t>Turtle</t>
        </is>
      </c>
    </row>
    <row r="6">
      <c r="A6" s="19" t="n"/>
      <c r="B6" s="19" t="inlineStr">
        <is>
          <t>Small / Early</t>
        </is>
      </c>
      <c r="C6" s="19" t="n"/>
      <c r="D6" s="19" t="n">
        <v>5</v>
      </c>
      <c r="E6" s="19" t="n"/>
      <c r="F6" s="19" t="n"/>
      <c r="G6" s="19" t="n"/>
      <c r="H6" s="19" t="n"/>
      <c r="I6" s="19" t="n"/>
    </row>
    <row r="7">
      <c r="A7" s="19" t="n"/>
      <c r="B7" s="19" t="inlineStr">
        <is>
          <t>Small / Early</t>
        </is>
      </c>
      <c r="C7" s="19" t="n"/>
      <c r="D7" s="19" t="n">
        <v>5</v>
      </c>
      <c r="E7" s="19" t="n"/>
      <c r="F7" s="19" t="n"/>
      <c r="G7" s="19" t="n"/>
      <c r="H7" s="19" t="n"/>
      <c r="I7" s="19" t="n"/>
    </row>
    <row r="8">
      <c r="A8" s="19" t="n"/>
      <c r="B8" s="19" t="inlineStr">
        <is>
          <t>Small / Early</t>
        </is>
      </c>
      <c r="C8" s="19" t="n"/>
      <c r="D8" s="19" t="n">
        <v>5</v>
      </c>
      <c r="E8" s="19" t="n"/>
      <c r="F8" s="19" t="n"/>
      <c r="G8" s="19" t="n"/>
      <c r="H8" s="19" t="n"/>
      <c r="I8" s="19" t="n"/>
    </row>
    <row r="9">
      <c r="A9" s="19" t="n"/>
      <c r="B9" s="19" t="inlineStr">
        <is>
          <t>Small / Early</t>
        </is>
      </c>
      <c r="C9" s="19" t="n"/>
      <c r="D9" s="19" t="n">
        <v>5</v>
      </c>
      <c r="E9" s="19" t="n"/>
      <c r="F9" s="19" t="n"/>
      <c r="G9" s="19" t="n"/>
      <c r="H9" s="19" t="n"/>
      <c r="I9" s="19" t="n"/>
    </row>
    <row r="10">
      <c r="A10" s="19" t="n"/>
      <c r="B10" s="19" t="inlineStr">
        <is>
          <t>Small / Early</t>
        </is>
      </c>
      <c r="C10" s="19" t="n"/>
      <c r="D10" s="19" t="n">
        <v>5</v>
      </c>
      <c r="E10" s="19" t="n"/>
      <c r="F10" s="19" t="n"/>
      <c r="G10" s="19" t="n"/>
      <c r="H10" s="19" t="n"/>
      <c r="I10" s="19" t="n"/>
    </row>
    <row r="11">
      <c r="A11" s="19" t="n"/>
      <c r="B11" s="19" t="inlineStr">
        <is>
          <t>Small / Early</t>
        </is>
      </c>
      <c r="C11" s="19" t="n"/>
      <c r="D11" s="19" t="n">
        <v>5</v>
      </c>
      <c r="E11" s="19" t="n"/>
      <c r="F11" s="19" t="n"/>
      <c r="G11" s="19" t="n"/>
      <c r="H11" s="19" t="n"/>
      <c r="I11" s="19" t="n"/>
    </row>
  </sheetData>
  <mergeCells count="1">
    <mergeCell ref="A2:I2"/>
  </mergeCells>
  <dataValidations count="2">
    <dataValidation sqref="B6:B11" showDropDown="0" showInputMessage="0" showErrorMessage="0" allowBlank="1" type="list">
      <formula1>"Small / Early,Guarded,Castle"</formula1>
    </dataValidation>
    <dataValidation sqref="E6:I11" showDropDown="0" showInputMessage="0" showErrorMessage="0" allowBlank="1" type="list">
      <formula1>=UnitNames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6" customWidth="1" min="2" max="2"/>
    <col width="40" customWidth="1" min="3" max="3"/>
    <col width="10" customWidth="1" min="4" max="4"/>
  </cols>
  <sheetData>
    <row r="1">
      <c r="A1" s="17" t="inlineStr">
        <is>
          <t>Dice-as-Cards: Open Questions</t>
        </is>
      </c>
    </row>
    <row r="2" ht="28" customHeight="1">
      <c r="A2" s="18" t="inlineStr">
        <is>
          <t>Scratchpad for the Slay-the-Spire-style dice bag/hand idea, kept separate from the roster above since none of it is mechanically wired yet - none of this changes Scripts/Die.gd or main.gd on its own.</t>
        </is>
      </c>
    </row>
    <row r="4">
      <c r="A4" s="10" t="inlineStr">
        <is>
          <t>Question</t>
        </is>
      </c>
      <c r="B4" s="10" t="inlineStr">
        <is>
          <t>Current Idea</t>
        </is>
      </c>
      <c r="C4" s="10" t="inlineStr">
        <is>
          <t>Depends On</t>
        </is>
      </c>
      <c r="D4" s="10" t="inlineStr">
        <is>
          <t>Status</t>
        </is>
      </c>
    </row>
    <row r="5" ht="40" customHeight="1">
      <c r="A5" s="23" t="inlineStr">
        <is>
          <t>Bag size (total dice owned)</t>
        </is>
      </c>
      <c r="B5" s="13" t="inlineStr">
        <is>
          <t>TBD - StS decks start ~10 cards and grow</t>
        </is>
      </c>
      <c r="C5" s="13" t="inlineStr">
        <is>
          <t>Run-length pacing, shop economy</t>
        </is>
      </c>
      <c r="D5" s="24" t="inlineStr">
        <is>
          <t>Open</t>
        </is>
      </c>
    </row>
    <row r="6" ht="40" customHeight="1">
      <c r="A6" s="23" t="inlineStr">
        <is>
          <t>Hand size per roll</t>
        </is>
      </c>
      <c r="B6" s="13" t="inlineStr">
        <is>
          <t>TBD - currently the game just rolls a fixed 2 dice for TYPE, then a fixed 3 for QUANTITY (no hand yet)</t>
        </is>
      </c>
      <c r="C6" s="13" t="inlineStr">
        <is>
          <t>How many meaningful choices per roll feels good</t>
        </is>
      </c>
      <c r="D6" s="24" t="inlineStr">
        <is>
          <t>Open</t>
        </is>
      </c>
    </row>
    <row r="7" ht="40" customHeight="1">
      <c r="A7" s="23" t="inlineStr">
        <is>
          <t>Draw timing</t>
        </is>
      </c>
      <c r="B7" s="13" t="inlineStr">
        <is>
          <t>Per roll? Per village? Per run?</t>
        </is>
      </c>
      <c r="C7" s="13" t="inlineStr">
        <is>
          <t>Whether swapping dice is a mid-raid tactic or a prep-phase one</t>
        </is>
      </c>
      <c r="D7" s="24" t="inlineStr">
        <is>
          <t>Open</t>
        </is>
      </c>
    </row>
    <row r="8" ht="40" customHeight="1">
      <c r="A8" s="23" t="inlineStr">
        <is>
          <t>Dice you choose to play vs. auto-rolled</t>
        </is>
      </c>
      <c r="B8" s="13" t="inlineStr">
        <is>
          <t>Player picks which dice from hand to roll, to sway TYPE sum toward a Draft Pool or QUANTITY rarity</t>
        </is>
      </c>
      <c r="C8" s="13" t="inlineStr">
        <is>
          <t>Needs a real hand UI - see Scripts/DiceCountSelector.gd, parked for rework</t>
        </is>
      </c>
      <c r="D8" s="24" t="inlineStr">
        <is>
          <t>Open</t>
        </is>
      </c>
    </row>
    <row r="9" ht="40" customHeight="1">
      <c r="A9" s="23" t="inlineStr">
        <is>
          <t>One-time-use vs. persistent dice</t>
        </is>
      </c>
      <c r="B9" s="13" t="inlineStr">
        <is>
          <t>Some dice consumed after one roll (like a StS card exhausting), most stay in the bag</t>
        </is>
      </c>
      <c r="C9" s="13" t="inlineStr">
        <is>
          <t>Shop/reward design for how you acquire them</t>
        </is>
      </c>
      <c r="D9" s="24" t="inlineStr">
        <is>
          <t>Open</t>
        </is>
      </c>
    </row>
    <row r="10" ht="40" customHeight="1">
      <c r="A10" s="23" t="inlineStr">
        <is>
          <t>Modifier dice - raise/lower roll</t>
        </is>
      </c>
      <c r="B10" s="13" t="inlineStr">
        <is>
          <t>A die that adds/subtracts from the TYPE sum before it's looked up in Roll Tiers</t>
        </is>
      </c>
      <c r="C10" s="13" t="inlineStr">
        <is>
          <t>Needs a resolution step in main.gd between dice locking and _pool_for_range()</t>
        </is>
      </c>
      <c r="D10" s="24" t="inlineStr">
        <is>
          <t>Open</t>
        </is>
      </c>
    </row>
    <row r="11" ht="40" customHeight="1">
      <c r="A11" s="23" t="inlineStr">
        <is>
          <t>Modifier dice - stat trade</t>
        </is>
      </c>
      <c r="B11" s="13" t="inlineStr">
        <is>
          <t>"Glass cannon" (+damage/-HP) or "tanky" (-damage/+HP) roll modifiers applied to the drafted unit's Rarity Variants row</t>
        </is>
      </c>
      <c r="C11" s="13" t="inlineStr">
        <is>
          <t>Needs the Rarity Variants sheet's Damage/HP columns to support a runtime trade, not just the static multiplier</t>
        </is>
      </c>
      <c r="D11" s="24" t="inlineStr">
        <is>
          <t>Open</t>
        </is>
      </c>
    </row>
    <row r="12" ht="40" customHeight="1">
      <c r="A12" s="23" t="inlineStr">
        <is>
          <t>5 unit slots per village</t>
        </is>
      </c>
      <c r="B12" s="13" t="inlineStr">
        <is>
          <t>Player pre-picks which units can be drafted for a given village (see Village Loadouts tab) rather than the full roster always being live</t>
        </is>
      </c>
      <c r="C12" s="13" t="inlineStr">
        <is>
          <t>Whether Draft Pool filtering happens before or after the dice roll</t>
        </is>
      </c>
      <c r="D12" s="24" t="inlineStr">
        <is>
          <t>Open</t>
        </is>
      </c>
    </row>
  </sheetData>
  <mergeCells count="1"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2026-09-03T06:38:54Z</dcterms:created>
  <dcterms:modified xsi:type="dcterms:W3CDTF">2026-09-03T06:38:54Z</dcterms:modified>
</cp:coreProperties>
</file>